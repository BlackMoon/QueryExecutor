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ProjectsSourceCode\ntcProjects\Projects\QueryExecutor\queryExecutor.Results\Excel\"/>
    </mc:Choice>
  </mc:AlternateContent>
  <bookViews>
    <workbookView xWindow="0" yWindow="0" windowWidth="28800" windowHeight="12300" tabRatio="693" activeTab="7"/>
  </bookViews>
  <sheets>
    <sheet name="Системный" sheetId="14" r:id="rId1"/>
    <sheet name="Параметры - Внешние" sheetId="19" r:id="rId2"/>
    <sheet name="Запрос - Параметры" sheetId="18" r:id="rId3"/>
    <sheet name="Запрос - Параметр1" sheetId="20" r:id="rId4"/>
    <sheet name="Запрос - Параметр2" sheetId="24" r:id="rId5"/>
    <sheet name="Запрос - Параметр3" sheetId="25" r:id="rId6"/>
    <sheet name="Запрос - Выбор" sheetId="12" r:id="rId7"/>
    <sheet name="Параметры" sheetId="10" r:id="rId8"/>
    <sheet name="Данные" sheetId="9" r:id="rId9"/>
  </sheets>
  <functionGroups builtInGroupCount="18"/>
  <definedNames>
    <definedName name="ExternalData_1" localSheetId="8" hidden="1">Данные!$A$3:$G$5</definedName>
    <definedName name="ExternalData_1" localSheetId="3" hidden="1">'Запрос - Параметр1'!$A$1:$D$100</definedName>
    <definedName name="ExternalData_1" localSheetId="4" hidden="1">'Запрос - Параметр2'!$A$1:$D$100</definedName>
    <definedName name="ExternalData_1" localSheetId="2" hidden="1">'Запрос - Параметры'!$A$1:$K$4</definedName>
    <definedName name="ExternalData_1" localSheetId="1" hidden="1">'Параметры - Внешние'!$A$1:$C$12</definedName>
    <definedName name="params_query_path">Параметры!$B$1</definedName>
    <definedName name="queries_group_selected">'Запрос - Выбор'!$B$4</definedName>
    <definedName name="query_selected">'Запрос - Выбор'!$B$5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8" l="1"/>
  <c r="G3" i="18"/>
  <c r="G2" i="18"/>
  <c r="A1" i="9" l="1"/>
</calcChain>
</file>

<file path=xl/connections.xml><?xml version="1.0" encoding="utf-8"?>
<connections xmlns="http://schemas.openxmlformats.org/spreadsheetml/2006/main">
  <connection id="1" keepAlive="1" name="Запрос — json_value_by_name" description="Соединение с запросом &quot;json_value_by_name&quot; в книге." type="5" refreshedVersion="0" background="1">
    <dbPr connection="Provider=Microsoft.Mashup.OleDb.1;Data Source=$Workbook$;Location=json_value_by_name" command="SELECT * FROM [json_value_by_name]"/>
  </connection>
  <connection id="2" keepAlive="1" name="Запрос — json_value_by_names_path" description="Соединение с запросом &quot;json_value_by_names_path&quot; в книге." type="5" refreshedVersion="0" background="1">
    <dbPr connection="Provider=Microsoft.Mashup.OleDb.1;Data Source=$Workbook$;Location=json_value_by_names_path" command="SELECT * FROM [json_value_by_names_path]"/>
  </connection>
  <connection id="3" keepAlive="1" name="Запрос — ObjectParam1" description="Соединение с запросом &quot;ObjectParam1&quot; в книге." type="5" refreshedVersion="6" background="1" saveData="1">
    <dbPr connection="Provider=Microsoft.Mashup.OleDb.1;Data Source=$Workbook$;Location=ObjectParam1;Extended Properties=&quot;&quot;" command="SELECT * FROM [ObjectParam1]"/>
  </connection>
  <connection id="4" keepAlive="1" name="Запрос — ObjectParam2" description="Соединение с запросом &quot;ObjectParam2&quot; в книге." type="5" refreshedVersion="6" background="1" saveData="1">
    <dbPr connection="Provider=Microsoft.Mashup.OleDb.1;Data Source=$Workbook$;Location=ObjectParam2;Extended Properties=&quot;&quot;" command="SELECT * FROM [ObjectParam2]"/>
  </connection>
  <connection id="5" keepAlive="1" name="Запрос — odata_columns" description="Соединение с запросом &quot;odata_columns&quot; в книге." type="5" refreshedVersion="0" background="1">
    <dbPr connection="Provider=Microsoft.Mashup.OleDb.1;Data Source=$Workbook$;Location=odata_columns" command="SELECT * FROM [odata_columns]"/>
  </connection>
  <connection id="6" keepAlive="1" name="Запрос — odata_feed" description="Соединение с запросом &quot;odata_feed&quot; в книге." type="5" refreshedVersion="0" background="1">
    <dbPr connection="Provider=Microsoft.Mashup.OleDb.1;Data Source=$Workbook$;Location=odata_feed" command="SELECT * FROM [odata_feed]"/>
  </connection>
  <connection id="7" keepAlive="1" name="Запрос — odata_params" description="Соединение с запросом &quot;odata_params&quot; в книге." type="5" refreshedVersion="0" background="1">
    <dbPr connection="Provider=Microsoft.Mashup.OleDb.1;Data Source=$Workbook$;Location=odata_params" command="SELECT * FROM [odata_params]"/>
  </connection>
  <connection id="8" keepAlive="1" name="Запрос — odata_results" description="Соединение с запросом &quot;odata_results&quot; в книге." type="5" refreshedVersion="0" background="1">
    <dbPr connection="Provider=Microsoft.Mashup.OleDb.1;Data Source=$Workbook$;Location=odata_results" command="SELECT * FROM [odata_results]"/>
  </connection>
  <connection id="9" keepAlive="1" name="Запрос — odata_results (2)" description="Соединение с запросом &quot;odata_results (2)&quot; в книге." type="5" refreshedVersion="0" background="1">
    <dbPr connection="Provider=Microsoft.Mashup.OleDb.1;Data Source=$Workbook$;Location=&quot;odata_results (2)&quot;" command="SELECT * FROM [odata_results (2)]"/>
  </connection>
  <connection id="10" keepAlive="1" name="Запрос — odata_results_expand" description="Соединение с запросом &quot;odata_results_expand&quot; в книге." type="5" refreshedVersion="0" background="1">
    <dbPr connection="Provider=Microsoft.Mashup.OleDb.1;Data Source=$Workbook$;Location=odata_results_expand" command="SELECT * FROM [odata_results_expand]"/>
  </connection>
  <connection id="11" keepAlive="1" name="Запрос — odata_server" description="Соединение с запросом &quot;odata_server&quot; в книге." type="5" refreshedVersion="0" background="1">
    <dbPr connection="Provider=Microsoft.Mashup.OleDb.1;Data Source=$Workbook$;Location=odata_server" command="SELECT * FROM [odata_server]"/>
  </connection>
  <connection id="12" keepAlive="1" name="Запрос — odata_source" description="Соединение с запросом &quot;odata_source&quot; в книге." type="5" refreshedVersion="0" background="1">
    <dbPr connection="Provider=Microsoft.Mashup.OleDb.1;Data Source=$Workbook$;Location=odata_source" command="SELECT * FROM [odata_source]"/>
  </connection>
  <connection id="13" keepAlive="1" name="Запрос — odata_source_with_params" description="Соединение с запросом &quot;odata_source_with_params&quot; в книге." type="5" refreshedVersion="0" background="1">
    <dbPr connection="Provider=Microsoft.Mashup.OleDb.1;Data Source=$Workbook$;Location=odata_source_with_params" command="SELECT * FROM [odata_source_with_params]"/>
  </connection>
  <connection id="14" keepAlive="1" name="Запрос — odata_url" description="Соединение с запросом &quot;odata_url&quot; в книге." type="5" refreshedVersion="0" background="1">
    <dbPr connection="Provider=Microsoft.Mashup.OleDb.1;Data Source=$Workbook$;Location=odata_url" command="SELECT * FROM [odata_url]"/>
  </connection>
  <connection id="15" keepAlive="1" name="Запрос — ora_password" description="Соединение с запросом &quot;ora_password&quot; в книге." type="5" refreshedVersion="0" background="1">
    <dbPr connection="Provider=Microsoft.Mashup.OleDb.1;Data Source=$Workbook$;Location=ora_password" command="SELECT * FROM [ora_password]"/>
  </connection>
  <connection id="16" keepAlive="1" name="Запрос — ora_server" description="Соединение с запросом &quot;ora_server&quot; в книге." type="5" refreshedVersion="0" background="1">
    <dbPr connection="Provider=Microsoft.Mashup.OleDb.1;Data Source=$Workbook$;Location=ora_server" command="SELECT * FROM [ora_server]"/>
  </connection>
  <connection id="17" keepAlive="1" name="Запрос — ora_type_to_pq_type" description="Соединение с запросом &quot;ora_type_to_pq_type&quot; в книге." type="5" refreshedVersion="0" background="1">
    <dbPr connection="Provider=Microsoft.Mashup.OleDb.1;Data Source=$Workbook$;Location=ora_type_to_pq_type" command="SELECT * FROM [ora_type_to_pq_type]"/>
  </connection>
  <connection id="18" keepAlive="1" name="Запрос — ora_user" description="Соединение с запросом &quot;ora_user&quot; в книге." type="5" refreshedVersion="0" background="1">
    <dbPr connection="Provider=Microsoft.Mashup.OleDb.1;Data Source=$Workbook$;Location=ora_user" command="SELECT * FROM [ora_user]"/>
  </connection>
  <connection id="19" keepAlive="1" name="Запрос — pe_file_json" description="Соединение с запросом &quot;pe_file_json&quot; в книге." type="5" refreshedVersion="0" background="1">
    <dbPr connection="Provider=Microsoft.Mashup.OleDb.1;Data Source=$Workbook$;Location=pe_file_json" command="SELECT * FROM [pe_file_json]"/>
  </connection>
  <connection id="20" keepAlive="1" name="Запрос — pe_file_name" description="Соединение с запросом &quot;pe_file_name&quot; в книге." type="5" refreshedVersion="0" background="1">
    <dbPr connection="Provider=Microsoft.Mashup.OleDb.1;Data Source=$Workbook$;Location=pe_file_name" command="SELECT * FROM [pe_file_name]"/>
  </connection>
  <connection id="21" keepAlive="1" name="Запрос — pe_odata_url" description="Соединение с запросом &quot;pe_odata_url&quot; в книге." type="5" refreshedVersion="0" background="1">
    <dbPr connection="Provider=Microsoft.Mashup.OleDb.1;Data Source=$Workbook$;Location=pe_odata_url" command="SELECT * FROM [pe_odata_url]"/>
  </connection>
  <connection id="22" keepAlive="1" name="Запрос — pe_table_add" description="Соединение с запросом &quot;pe_table_add&quot; в книге." type="5" refreshedVersion="0" background="1">
    <dbPr connection="Provider=Microsoft.Mashup.OleDb.1;Data Source=$Workbook$;Location=pe_table_add" command="SELECT * FROM [pe_table_add]"/>
  </connection>
  <connection id="23" keepAlive="1" name="Запрос — pe_table_add_list" description="Соединение с запросом &quot;pe_table_add_list&quot; в книге." type="5" refreshedVersion="0" background="1">
    <dbPr connection="Provider=Microsoft.Mashup.OleDb.1;Data Source=$Workbook$;Location=pe_table_add_list" command="SELECT * FROM [pe_table_add_list]"/>
  </connection>
  <connection id="24" keepAlive="1" name="Запрос — pe_table_all" description="Соединение с запросом &quot;pe_table_all&quot; в книге." type="5" refreshedVersion="6" background="1" saveData="1">
    <dbPr connection="Provider=Microsoft.Mashup.OleDb.1;Data Source=$Workbook$;Location=pe_table_all;Extended Properties=&quot;&quot;" command="SELECT * FROM [pe_table_all]"/>
  </connection>
  <connection id="25" keepAlive="1" name="Запрос — pe_value_by_names_path" description="Соединение с запросом &quot;pe_value_by_names_path&quot; в книге." type="5" refreshedVersion="0" background="1">
    <dbPr connection="Provider=Microsoft.Mashup.OleDb.1;Data Source=$Workbook$;Location=pe_value_by_names_path" command="SELECT * FROM [pe_value_by_names_path]"/>
  </connection>
  <connection id="26" keepAlive="1" name="Запрос — queries_group_selected" description="Соединение с запросом &quot;queries_group_selected&quot; в книге." type="5" refreshedVersion="0" background="1">
    <dbPr connection="Provider=Microsoft.Mashup.OleDb.1;Data Source=$Workbook$;Location=queries_group_selected" command="SELECT * FROM [queries_group_selected]"/>
  </connection>
  <connection id="27" keepAlive="1" name="Запрос — query_params_source" description="Соединение с запросом &quot;query_params_source&quot; в книге." type="5" refreshedVersion="6" background="1">
    <dbPr connection="Provider=Microsoft.Mashup.OleDb.1;Data Source=$Workbook$;Location=query_params_source" command="SELECT * FROM [query_params_source]"/>
  </connection>
  <connection id="28" keepAlive="1" name="Запрос — query_params_values" description="Соединение с запросом &quot;query_params_values&quot; в книге." type="5" refreshedVersion="0" background="1">
    <dbPr connection="Provider=Microsoft.Mashup.OleDb.1;Data Source=$Workbook$;Location=query_params_values" command="SELECT * FROM [query_params_values]"/>
  </connection>
  <connection id="29" keepAlive="1" name="Запрос — query_path" description="Соединение с запросом &quot;query_path&quot; в книге." type="5" refreshedVersion="0" background="1">
    <dbPr connection="Provider=Microsoft.Mashup.OleDb.1;Data Source=$Workbook$;Location=query_path" command="SELECT * FROM [query_path]"/>
  </connection>
  <connection id="30" keepAlive="1" name="Запрос — query_results" description="Соединение с запросом &quot;query_results&quot; в книге." type="5" refreshedVersion="0" background="1">
    <dbPr connection="Provider=Microsoft.Mashup.OleDb.1;Data Source=$Workbook$;Location=query_results" command="SELECT * FROM [query_results]"/>
  </connection>
  <connection id="31" keepAlive="1" name="Запрос — sys_param_get" description="Соединение с запросом &quot;sys_param_get&quot; в книге." type="5" refreshedVersion="0" background="1">
    <dbPr connection="Provider=Microsoft.Mashup.OleDb.1;Data Source=$Workbook$;Location=sys_param_get" command="SELECT * FROM [sys_param_get]"/>
  </connection>
  <connection id="32" keepAlive="1" name="Запрос — sys_params_table" description="Соединение с запросом &quot;sys_params_table&quot; в книге." type="5" refreshedVersion="0" background="1">
    <dbPr connection="Provider=Microsoft.Mashup.OleDb.1;Data Source=$Workbook$;Location=sys_params_table" command="SELECT * FROM [sys_params_table]"/>
  </connection>
  <connection id="33" keepAlive="1" name="Подключение" type="5" refreshedVersion="6" saveData="1">
    <dbPr connection="Provider=Microsoft.Mashup.OleDb.1;Data Source=$Workbook$;Location=query_results;Extended Properties=&quot;&quot;" command="SELECT * FROM [query_results]"/>
  </connection>
</connections>
</file>

<file path=xl/sharedStrings.xml><?xml version="1.0" encoding="utf-8"?>
<sst xmlns="http://schemas.openxmlformats.org/spreadsheetml/2006/main" count="505" uniqueCount="258">
  <si>
    <t>Наименование</t>
  </si>
  <si>
    <t>FieldCode</t>
  </si>
  <si>
    <t>ValueType</t>
  </si>
  <si>
    <t>Значение</t>
  </si>
  <si>
    <t>Запрос:</t>
  </si>
  <si>
    <t>Параметры:</t>
  </si>
  <si>
    <t>Группа:</t>
  </si>
  <si>
    <t>Выбор запроса</t>
  </si>
  <si>
    <t>Введите значения параметров, после чего нажмите кнопку "Далее"</t>
  </si>
  <si>
    <t>Параметры</t>
  </si>
  <si>
    <t>Параметр</t>
  </si>
  <si>
    <t>ORA_USER</t>
  </si>
  <si>
    <t>ORA_PASSWORD</t>
  </si>
  <si>
    <t>ORA_SERVER</t>
  </si>
  <si>
    <t>Name</t>
  </si>
  <si>
    <t>No</t>
  </si>
  <si>
    <t>FILE_PARAMS_EXTERNAL_NAME</t>
  </si>
  <si>
    <t>FILE_CURRENT_NAME</t>
  </si>
  <si>
    <t>FILE_PARAMS_EXTERNAL_EXISTS</t>
  </si>
  <si>
    <t>Path</t>
  </si>
  <si>
    <t>Value</t>
  </si>
  <si>
    <t>FormatMask</t>
  </si>
  <si>
    <t>Precision</t>
  </si>
  <si>
    <t>Scale</t>
  </si>
  <si>
    <t>FieldNo</t>
  </si>
  <si>
    <t>QueryNo</t>
  </si>
  <si>
    <t>D:\ProjectsSourceCode\ntcProjects\Projects\QueryExecutor\queryExecutor.Results\Excel\DSC Query OData Pattern.xlsm</t>
  </si>
  <si>
    <t>D:\ProjectsSourceCode\ntcProjects\Projects\QueryExecutor\queryExecutor.Results\Excel\DSC Query OData Pattern.params</t>
  </si>
  <si>
    <t>OBJECT</t>
  </si>
  <si>
    <t>Укажите группу и запрос, после чего нажмите кнопку "Обновить параметры"</t>
  </si>
  <si>
    <t>query_2_objects_params</t>
  </si>
  <si>
    <t>Test\test/query_2_objects_params</t>
  </si>
  <si>
    <t>IsHidden</t>
  </si>
  <si>
    <t>F</t>
  </si>
  <si>
    <t>POBJECT1_NO</t>
  </si>
  <si>
    <t>Объект1</t>
  </si>
  <si>
    <t>POBJECT2_NO</t>
  </si>
  <si>
    <t>Объект2</t>
  </si>
  <si>
    <t>PPARAM1</t>
  </si>
  <si>
    <t>VARCHAR</t>
  </si>
  <si>
    <t>Объект 1</t>
  </si>
  <si>
    <t>Объект 2</t>
  </si>
  <si>
    <t>Параметр 1</t>
  </si>
  <si>
    <t>CODE</t>
  </si>
  <si>
    <t>NAME</t>
  </si>
  <si>
    <t>NO2</t>
  </si>
  <si>
    <t>НВ1БД1-57/44</t>
  </si>
  <si>
    <t>Насос скважинный штанговый вставной НВ1БД1-57/44</t>
  </si>
  <si>
    <t>НВГ-55/43</t>
  </si>
  <si>
    <t>Насос скважинный вставной НВГ-55/43</t>
  </si>
  <si>
    <t>АлГИС</t>
  </si>
  <si>
    <t>АлГИС (геофиз. техника)</t>
  </si>
  <si>
    <t>НСВ1Б-57</t>
  </si>
  <si>
    <t>Насос скважинный штанговый вставной НСВ1Б-57</t>
  </si>
  <si>
    <t>ННБД1-57/32</t>
  </si>
  <si>
    <t>Насос скважинный штанговый невставной ННБД1-57/32</t>
  </si>
  <si>
    <t>НН2-82</t>
  </si>
  <si>
    <t>Насос скважинный штанговый невставной НН2-82</t>
  </si>
  <si>
    <t>ННГ-44-Э</t>
  </si>
  <si>
    <t>Насос скважинный штанговый невставной ННГ-44-Э</t>
  </si>
  <si>
    <t>25-225-ТН2XX-4Х</t>
  </si>
  <si>
    <t>Насос 25-225-ТН2XX-4Х</t>
  </si>
  <si>
    <t>175-RHMT-12-4-4</t>
  </si>
  <si>
    <t>Насос 175-RHMT-12-4-4</t>
  </si>
  <si>
    <t>SBS120-04/40-T-025</t>
  </si>
  <si>
    <t>Насос SBS120-04/40-T-025</t>
  </si>
  <si>
    <t>НВ1С-38-18-15</t>
  </si>
  <si>
    <t>Насос скважинный штанговый вставной НВ1С-38-18-15</t>
  </si>
  <si>
    <t>НВ1С-57-25-12</t>
  </si>
  <si>
    <t>Насос скважинный штанговый вставной НВ1С-57-25-12</t>
  </si>
  <si>
    <t>НВ1БТ-44</t>
  </si>
  <si>
    <t>Насос скважинный штанговый вставной НВ1БТ-44</t>
  </si>
  <si>
    <t>ННБД1-44/29</t>
  </si>
  <si>
    <t>Насос скважинный штанговый невставной ННБД1-44/29</t>
  </si>
  <si>
    <t>НВ2-55</t>
  </si>
  <si>
    <t>Насос скважинный штанговый вставной НВ2-55</t>
  </si>
  <si>
    <t>НСВ1Б-38</t>
  </si>
  <si>
    <t>Насос скважинный штанговый вставной НСВ1Б-38</t>
  </si>
  <si>
    <t>25-125ТНМТ-11-10</t>
  </si>
  <si>
    <t>Насос 25-125ТНМТ-11-10</t>
  </si>
  <si>
    <t>НВ1БУР-40</t>
  </si>
  <si>
    <t>Насос скважинный штанговый вставной НВ1БУР-40</t>
  </si>
  <si>
    <t>Редуктор станка-качалки</t>
  </si>
  <si>
    <t>ННБД1-70/44</t>
  </si>
  <si>
    <t>Насос скважинный штанговый невставной ННБД1-70/44</t>
  </si>
  <si>
    <t>НВ1БТ-57</t>
  </si>
  <si>
    <t>Насос скважинный штанговый вставной НВ1БТ-57</t>
  </si>
  <si>
    <t>НСВ1-38</t>
  </si>
  <si>
    <t>Насос  скважинный вставной НСВ1-38</t>
  </si>
  <si>
    <t>НН2Б-44-18-15</t>
  </si>
  <si>
    <t>Насос скважинный штанговый невставной НН2Б-44-18-15</t>
  </si>
  <si>
    <t>Оборудование низа НКТ</t>
  </si>
  <si>
    <t>Фильтр</t>
  </si>
  <si>
    <t>Воронка</t>
  </si>
  <si>
    <t>Муфта</t>
  </si>
  <si>
    <t>Удлиненный фильтр</t>
  </si>
  <si>
    <t>Удлиненный фильтр (щелевой фильтр)</t>
  </si>
  <si>
    <t>Разъединитель колонн</t>
  </si>
  <si>
    <t>РФЖиН</t>
  </si>
  <si>
    <t>Разделитель фактический жидкости и нефти</t>
  </si>
  <si>
    <t>Посадочный ниппель</t>
  </si>
  <si>
    <t>Посадочный ниппель низа НКТ</t>
  </si>
  <si>
    <t>Крестовина</t>
  </si>
  <si>
    <t>Пробка-мост</t>
  </si>
  <si>
    <t>Перфоратор кумулятивный</t>
  </si>
  <si>
    <t>Обесп. притока</t>
  </si>
  <si>
    <t>Обеспечение притока</t>
  </si>
  <si>
    <t>Спецотв. для РИР</t>
  </si>
  <si>
    <t>Спецотверстия для РИР</t>
  </si>
  <si>
    <t>Первичная</t>
  </si>
  <si>
    <t>Первичная (вскрытие пласта)</t>
  </si>
  <si>
    <t>Повторная</t>
  </si>
  <si>
    <t>Повторная (перестрел пласта)</t>
  </si>
  <si>
    <t>Переход на др. гор.</t>
  </si>
  <si>
    <t>Переход на другие горизонты</t>
  </si>
  <si>
    <t>Приобщение гор.</t>
  </si>
  <si>
    <t>Приобщение горизонта</t>
  </si>
  <si>
    <t>Дострел пл.</t>
  </si>
  <si>
    <t>Дострел пласта</t>
  </si>
  <si>
    <t>ГРП</t>
  </si>
  <si>
    <t>ГРП (Гидроразрыв пласта)</t>
  </si>
  <si>
    <t>Возврат</t>
  </si>
  <si>
    <t>Дострел пл. с ОПЗ</t>
  </si>
  <si>
    <t>Дострел пласта с ОПЗ</t>
  </si>
  <si>
    <t>Расш. инт. перф.</t>
  </si>
  <si>
    <t>Раcширение интервала перфорации</t>
  </si>
  <si>
    <t>Перестрел пл. с ОПЗ</t>
  </si>
  <si>
    <t>Перестрел пласта с ОПЗ</t>
  </si>
  <si>
    <t>Опробов.пл.</t>
  </si>
  <si>
    <t>Опробование пласта</t>
  </si>
  <si>
    <t>1</t>
  </si>
  <si>
    <t>Торпедная</t>
  </si>
  <si>
    <t>2</t>
  </si>
  <si>
    <t>Кумулятивная</t>
  </si>
  <si>
    <t>3</t>
  </si>
  <si>
    <t>Пулевая</t>
  </si>
  <si>
    <t>4</t>
  </si>
  <si>
    <t>Гидропескоструйная</t>
  </si>
  <si>
    <t>5</t>
  </si>
  <si>
    <t>Неизвестен</t>
  </si>
  <si>
    <t>6</t>
  </si>
  <si>
    <t>Сверление</t>
  </si>
  <si>
    <t>7</t>
  </si>
  <si>
    <t>8</t>
  </si>
  <si>
    <t>ОРВ.Срезные заглушки</t>
  </si>
  <si>
    <t>9</t>
  </si>
  <si>
    <t>Открытый забой</t>
  </si>
  <si>
    <t>10</t>
  </si>
  <si>
    <t>Депрессивная</t>
  </si>
  <si>
    <t>ПР-43</t>
  </si>
  <si>
    <t>Перфоратор разрушающий куммулятивный ПР-43</t>
  </si>
  <si>
    <t>018</t>
  </si>
  <si>
    <t>Перфоратор кумулятивный ПК-105-С</t>
  </si>
  <si>
    <t>019</t>
  </si>
  <si>
    <t>Перфоратор кумулятивный ПКС-80</t>
  </si>
  <si>
    <t>017</t>
  </si>
  <si>
    <t>Перфоратор кумулятивный ПК-105/7</t>
  </si>
  <si>
    <t>008</t>
  </si>
  <si>
    <t>Перфоратор кумулятивный корпусный ПК-103</t>
  </si>
  <si>
    <t>009</t>
  </si>
  <si>
    <t>Перфоратор кумулятивный ПК-105ДУ</t>
  </si>
  <si>
    <t>010</t>
  </si>
  <si>
    <t>Перфоратор кумулятивный корпусный ПК-83</t>
  </si>
  <si>
    <t>011</t>
  </si>
  <si>
    <t>Перфоратор кумулятивный корпусный ПК-80</t>
  </si>
  <si>
    <t>012</t>
  </si>
  <si>
    <t>Перфоратор кумулятивный корпусный ПК-65</t>
  </si>
  <si>
    <t>013</t>
  </si>
  <si>
    <t>Перфоратор кумулятивный корпусный КПР-80</t>
  </si>
  <si>
    <t>Добывающая</t>
  </si>
  <si>
    <t>ЭЦНМ5-200-800</t>
  </si>
  <si>
    <t>Погружной центробежный насос ЭЦНМ5-200-800</t>
  </si>
  <si>
    <t>ЭЦНМ5-20-1450</t>
  </si>
  <si>
    <t>Погружной центробежный насос ЭЦНМ5-20-1450</t>
  </si>
  <si>
    <t>УЭЦНМ5А-250-1400</t>
  </si>
  <si>
    <t>Установка погружного центробежного насоса УЭЦНМ5А-250-1400</t>
  </si>
  <si>
    <t>ЭЦНМ5А-250-1000</t>
  </si>
  <si>
    <t>Погружной центробежный насос ЭЦНМ5А-250-1000</t>
  </si>
  <si>
    <t>ЭЦН5-30-1500</t>
  </si>
  <si>
    <t>Насос ЭЦН5-30-1500</t>
  </si>
  <si>
    <t>12 Наземное оборудование</t>
  </si>
  <si>
    <t>Наземное оборудование</t>
  </si>
  <si>
    <t>1200936</t>
  </si>
  <si>
    <t>Манометр устьевой САФ-175-МУ</t>
  </si>
  <si>
    <t>175</t>
  </si>
  <si>
    <t>Замер манометром</t>
  </si>
  <si>
    <t>12</t>
  </si>
  <si>
    <t>Устьевое оборудование</t>
  </si>
  <si>
    <t>GK,ZPKO-102DN-30GP</t>
  </si>
  <si>
    <t>ГК,ЗПКО-102ДН-30ГП</t>
  </si>
  <si>
    <t>ШН-22-1500 кл.Д д.22мм с муф.ум.д.41,3мм</t>
  </si>
  <si>
    <t>Полуштанга насосная  ШН-22-1500 (класса Д), диаметр 22 с муфт.ум.диам.41,3</t>
  </si>
  <si>
    <t>ШН-22-1500 кл.С д.22мм с муф.ум.д.41,3мм</t>
  </si>
  <si>
    <t>Штанга насосная  ШН-22-1500 (класса С), диаметр 22 с муфт.ум.диам.41,3 мм</t>
  </si>
  <si>
    <t>ШН-16-9140 кл.С д.16мм с муф.ум.д.31,8мм</t>
  </si>
  <si>
    <t>Штанга насосная  ШН-16-9140 (класса С), диаметр 16 с муфт.ум.диам.31,8 мм</t>
  </si>
  <si>
    <t>ШН-16-1500 кл.Д д.16мм с муф.ум.д.31,8мм</t>
  </si>
  <si>
    <t>Полуштанга насосная  ШН-16-1500 (класса Д), диаметр 16 с муфт.ум.диам.31,8 мм</t>
  </si>
  <si>
    <t>Счетчик СКЖ- 60-40</t>
  </si>
  <si>
    <t>15</t>
  </si>
  <si>
    <t>Устьевой штуцер</t>
  </si>
  <si>
    <t>13</t>
  </si>
  <si>
    <t>Устьевой шток</t>
  </si>
  <si>
    <t>1201158</t>
  </si>
  <si>
    <t>Манометр - термометр АЦМ-4</t>
  </si>
  <si>
    <t>1201159</t>
  </si>
  <si>
    <t>Манометр устьев.Метран-55</t>
  </si>
  <si>
    <t>18</t>
  </si>
  <si>
    <t>Подвеска устьевого штока</t>
  </si>
  <si>
    <t>16</t>
  </si>
  <si>
    <t>Станок-качалка</t>
  </si>
  <si>
    <t>16001</t>
  </si>
  <si>
    <t>III269,9ТЗ-ЦВ</t>
  </si>
  <si>
    <t>Долото трехшарошечное (для сплошного бурения) 269,9 ТЗ-ЦВ</t>
  </si>
  <si>
    <t>PRINT_TYPE_BLOCK</t>
  </si>
  <si>
    <t>Печать</t>
  </si>
  <si>
    <t>Экономист</t>
  </si>
  <si>
    <t>62</t>
  </si>
  <si>
    <t>Хвостовик колонны НКТ</t>
  </si>
  <si>
    <t>6 Оборудование низа НКТ</t>
  </si>
  <si>
    <t>69</t>
  </si>
  <si>
    <t>Интервал осложнения при бурении</t>
  </si>
  <si>
    <t>Элемент разреза</t>
  </si>
  <si>
    <t>Интервал дефектности колонны</t>
  </si>
  <si>
    <t>Фильтр-хвостовик</t>
  </si>
  <si>
    <t>Caption</t>
  </si>
  <si>
    <t>T</t>
  </si>
  <si>
    <t>Да</t>
  </si>
  <si>
    <t>Нет</t>
  </si>
  <si>
    <t>Test/test</t>
  </si>
  <si>
    <t>OData\URL</t>
  </si>
  <si>
    <t>URL</t>
  </si>
  <si>
    <t>http://webtest.aquilon.ru:807</t>
  </si>
  <si>
    <t>OData\Connection</t>
  </si>
  <si>
    <t>User</t>
  </si>
  <si>
    <t>TNND</t>
  </si>
  <si>
    <t>Password</t>
  </si>
  <si>
    <t/>
  </si>
  <si>
    <t>Server</t>
  </si>
  <si>
    <t>aql.tnnd</t>
  </si>
  <si>
    <t>UI\Connection</t>
  </si>
  <si>
    <t>UserChangeAllow</t>
  </si>
  <si>
    <t>PasswordChangeAllow</t>
  </si>
  <si>
    <t>ServerChangeAllow</t>
  </si>
  <si>
    <t>UI\WorkBook</t>
  </si>
  <si>
    <t>LoginDialogShow</t>
  </si>
  <si>
    <t>UI\WorkSheet\Параметры</t>
  </si>
  <si>
    <t>Visible</t>
  </si>
  <si>
    <t>UI\WorkSheet\Данные</t>
  </si>
  <si>
    <t>ChangeAllow</t>
  </si>
  <si>
    <t>NO</t>
  </si>
  <si>
    <t>UPPER_CODE</t>
  </si>
  <si>
    <t>UPPER_NAME</t>
  </si>
  <si>
    <t>DESCRIPTION</t>
  </si>
  <si>
    <t>PARAM1</t>
  </si>
  <si>
    <t>НАСОС СКВАЖИННЫЙ ШТАНГОВЫЙ ВСТАВНОЙ НВ2-55</t>
  </si>
  <si>
    <t>код fox:695</t>
  </si>
  <si>
    <t>ДОБЫВАЮЩАЯ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</si>
</sst>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.mm\.yyyy"/>
  </numFmts>
  <fonts count="5" x14ac:knownFonts="1">
    <font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NumberFormat="1"/>
    <xf numFmtId="0" fontId="1" fillId="0" borderId="0" xfId="0" applyFont="1"/>
    <xf numFmtId="0" fontId="2" fillId="2" borderId="0" xfId="0" applyFont="1" applyFill="1" applyBorder="1" applyProtection="1">
      <protection locked="0" hidden="1"/>
    </xf>
    <xf numFmtId="0" fontId="0" fillId="0" borderId="0" xfId="0" applyAlignment="1">
      <alignment horizontal="left" vertical="top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Protection="1"/>
    <xf numFmtId="0" fontId="0" fillId="0" borderId="0" xfId="0" applyProtection="1"/>
    <xf numFmtId="0" fontId="3" fillId="0" borderId="0" xfId="0" applyFont="1" applyBorder="1" applyProtection="1"/>
    <xf numFmtId="164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</cellXfs>
  <cellStyles count="1">
    <cellStyle name="Обычный" xfId="0" builtinId="0"/>
  </cellStyles>
  <dxfs count="25"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protection locked="0" hidden="0"/>
    </dxf>
    <dxf>
      <numFmt numFmtId="164" formatCode="dd\.mm\.yyyy"/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$B$5" fmlaRange="'Запрос - Параметр1'!$D$2:$D$100" noThreeD="1" sel="1" val="0"/>
</file>

<file path=xl/ctrlProps/ctrlProp4.xml><?xml version="1.0" encoding="utf-8"?>
<formControlPr xmlns="http://schemas.microsoft.com/office/spreadsheetml/2009/9/main" objectType="Drop" dropLines="20" dropStyle="combo" dx="16" fmlaLink="$B$6" fmlaRange="'Запрос - Параметр2'!$D$2:$D$100" noThreeD="1" sel="15" val="14"/>
</file>

<file path=xl/ctrlProps/ctrlProp5.xml><?xml version="1.0" encoding="utf-8"?>
<formControlPr xmlns="http://schemas.microsoft.com/office/spreadsheetml/2009/9/main" objectType="Drop" dropLines="2" dropStyle="combo" dx="16" fmlaLink="$B$7" fmlaRange="'Запрос - Параметр3'!$B$3:$B$4" noThreeD="1" sel="1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2</xdr:row>
          <xdr:rowOff>133350</xdr:rowOff>
        </xdr:from>
        <xdr:to>
          <xdr:col>5</xdr:col>
          <xdr:colOff>19050</xdr:colOff>
          <xdr:row>5</xdr:row>
          <xdr:rowOff>47625</xdr:rowOff>
        </xdr:to>
        <xdr:sp macro="" textlink="">
          <xdr:nvSpPr>
            <xdr:cNvPr id="7192" name="btnQueryInfoLoad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параметры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2</xdr:row>
          <xdr:rowOff>228600</xdr:rowOff>
        </xdr:from>
        <xdr:to>
          <xdr:col>5</xdr:col>
          <xdr:colOff>47625</xdr:colOff>
          <xdr:row>4</xdr:row>
          <xdr:rowOff>85725</xdr:rowOff>
        </xdr:to>
        <xdr:sp macro="" textlink="">
          <xdr:nvSpPr>
            <xdr:cNvPr id="3074" name="btnQueryRu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Далее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2733675</xdr:colOff>
          <xdr:row>5</xdr:row>
          <xdr:rowOff>9525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66675</xdr:colOff>
      <xdr:row>4</xdr:row>
      <xdr:rowOff>28575</xdr:rowOff>
    </xdr:from>
    <xdr:to>
      <xdr:col>2</xdr:col>
      <xdr:colOff>219075</xdr:colOff>
      <xdr:row>4</xdr:row>
      <xdr:rowOff>180975</xdr:rowOff>
    </xdr:to>
    <xdr:pic macro="[0]!ParamObject1Refresh">
      <xdr:nvPicPr>
        <xdr:cNvPr id="4" name="imgQueriesByGroupRefresh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14850" y="933450"/>
          <a:ext cx="152400" cy="152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2733675</xdr:colOff>
          <xdr:row>6</xdr:row>
          <xdr:rowOff>9525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76200</xdr:colOff>
      <xdr:row>5</xdr:row>
      <xdr:rowOff>28575</xdr:rowOff>
    </xdr:from>
    <xdr:to>
      <xdr:col>2</xdr:col>
      <xdr:colOff>228600</xdr:colOff>
      <xdr:row>5</xdr:row>
      <xdr:rowOff>180975</xdr:rowOff>
    </xdr:to>
    <xdr:pic macro="[0]!ParamObject2Refresh">
      <xdr:nvPicPr>
        <xdr:cNvPr id="6" name="imgQueriesByGroupRefresh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24375" y="1123950"/>
          <a:ext cx="152400" cy="152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9525</xdr:rowOff>
        </xdr:from>
        <xdr:to>
          <xdr:col>1</xdr:col>
          <xdr:colOff>2733675</xdr:colOff>
          <xdr:row>7</xdr:row>
          <xdr:rowOff>9525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24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Path" tableColumnId="1"/>
      <queryTableField id="2" name="Name" tableColumnId="2"/>
      <queryTableField id="3" name="Value" tableColumnId="3"/>
    </queryTableFields>
  </queryTableRefresh>
</queryTable>
</file>

<file path=xl/queryTables/queryTable2.xml><?xml version="1.0" encoding="utf-8"?>
<queryTable xmlns="http://schemas.openxmlformats.org/spreadsheetml/2006/main" name="ExternalData_1" removeDataOnSave="1" connectionId="27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FieldNo" tableColumnId="1"/>
      <queryTableField id="2" name="QueryNo" tableColumnId="2"/>
      <queryTableField id="3" name="IsHidden" tableColumnId="3"/>
      <queryTableField id="4" name="FieldCode" tableColumnId="4"/>
      <queryTableField id="5" name="ValueType" tableColumnId="5"/>
      <queryTableField id="6" name="Name" tableColumnId="6"/>
      <queryTableField id="7" name="Value" tableColumnId="7"/>
      <queryTableField id="8" name="Scale" tableColumnId="8"/>
      <queryTableField id="9" name="Precision" tableColumnId="9"/>
      <queryTableField id="10" name="FormatMask" tableColumnId="10"/>
      <queryTableField id="11" name="No" tableColumnId="11"/>
    </queryTableFields>
  </queryTableRefresh>
</queryTable>
</file>

<file path=xl/queryTables/queryTable3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No" tableColumnId="5"/>
      <queryTableField id="2" name="NO" tableColumnId="6"/>
      <queryTableField id="3" name="CODE" tableColumnId="7"/>
      <queryTableField id="4" name="NAME" tableColumnId="8"/>
    </queryTableFields>
  </queryTableRefresh>
</queryTable>
</file>

<file path=xl/queryTables/queryTable4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No" tableColumnId="1"/>
      <queryTableField id="2" name="NO" tableColumnId="2"/>
      <queryTableField id="3" name="CODE" tableColumnId="3"/>
      <queryTableField id="4" name="NAME" tableColumnId="4"/>
    </queryTableFields>
  </queryTableRefresh>
</queryTable>
</file>

<file path=xl/queryTables/queryTable5.xml><?xml version="1.0" encoding="utf-8"?>
<queryTable xmlns="http://schemas.openxmlformats.org/spreadsheetml/2006/main" name="ExternalData_1" backgroundRefresh="0" preserveFormatting="0" connectionId="33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NO" tableColumnId="8"/>
      <queryTableField id="2" name="CODE" tableColumnId="9"/>
      <queryTableField id="3" name="UPPER_CODE" tableColumnId="10"/>
      <queryTableField id="4" name="NAME" tableColumnId="11"/>
      <queryTableField id="5" name="UPPER_NAME" tableColumnId="12"/>
      <queryTableField id="6" name="DESCRIPTION" tableColumnId="13"/>
      <queryTableField id="7" name="PARAM1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2" name="tab_system_params" displayName="tab_system_params" ref="A2:B8" totalsRowShown="0">
  <autoFilter ref="A2:B8"/>
  <tableColumns count="2">
    <tableColumn id="1" name="Параметр"/>
    <tableColumn id="2" name="Значение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pe_table_all" displayName="pe_table_all" ref="A1:C12" tableType="queryTable" totalsRowShown="0">
  <autoFilter ref="A1:C12"/>
  <tableColumns count="3">
    <tableColumn id="1" uniqueName="1" name="Path" queryTableFieldId="1" dataDxfId="2"/>
    <tableColumn id="2" uniqueName="2" name="Name" queryTableFieldId="2" dataDxfId="1"/>
    <tableColumn id="3" uniqueName="3" name="Value" queryTableFieldId="3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8" name="query_params_source" displayName="query_params_source" ref="A1:K4" tableType="queryTable" totalsRowShown="0">
  <autoFilter ref="A1:K4"/>
  <tableColumns count="11">
    <tableColumn id="1" uniqueName="1" name="FieldNo" queryTableFieldId="1" dataDxfId="23"/>
    <tableColumn id="2" uniqueName="2" name="QueryNo" queryTableFieldId="2" dataDxfId="22"/>
    <tableColumn id="3" uniqueName="3" name="IsHidden" queryTableFieldId="3" dataDxfId="21"/>
    <tableColumn id="4" uniqueName="4" name="FieldCode" queryTableFieldId="4" dataDxfId="20"/>
    <tableColumn id="5" uniqueName="5" name="ValueType" queryTableFieldId="5" dataDxfId="19"/>
    <tableColumn id="6" uniqueName="6" name="Name" queryTableFieldId="6" dataDxfId="18"/>
    <tableColumn id="7" uniqueName="7" name="Value" queryTableFieldId="7" dataDxfId="17"/>
    <tableColumn id="8" uniqueName="8" name="Scale" queryTableFieldId="8" dataDxfId="16"/>
    <tableColumn id="9" uniqueName="9" name="Precision" queryTableFieldId="9" dataDxfId="15"/>
    <tableColumn id="10" uniqueName="10" name="FormatMask" queryTableFieldId="10" dataDxfId="14"/>
    <tableColumn id="11" uniqueName="11" name="No" queryTableFieldId="11" dataDxfId="1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7" name="ObjectParam1" displayName="ObjectParam1" ref="A1:D100" tableType="queryTable" totalsRowShown="0">
  <autoFilter ref="A1:D100"/>
  <tableColumns count="4">
    <tableColumn id="5" uniqueName="5" name="No" queryTableFieldId="1" dataDxfId="12"/>
    <tableColumn id="6" uniqueName="6" name="NO2" queryTableFieldId="2" dataDxfId="11"/>
    <tableColumn id="7" uniqueName="7" name="CODE" queryTableFieldId="3" dataDxfId="10"/>
    <tableColumn id="8" uniqueName="8" name="NAME" queryTableFieldId="4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12" name="ObjectParam2" displayName="ObjectParam2" ref="A1:D100" tableType="queryTable" totalsRowShown="0">
  <autoFilter ref="A1:D100"/>
  <tableColumns count="4">
    <tableColumn id="1" uniqueName="1" name="No" queryTableFieldId="1" dataDxfId="8"/>
    <tableColumn id="2" uniqueName="2" name="NO2" queryTableFieldId="2" dataDxfId="7"/>
    <tableColumn id="3" uniqueName="3" name="CODE" queryTableFieldId="3" dataDxfId="6"/>
    <tableColumn id="4" uniqueName="4" name="NAME" queryTableFieldId="4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14" name="Param3Values" displayName="Param3Values" ref="A2:B4" totalsRowShown="0">
  <autoFilter ref="A2:B4"/>
  <tableColumns count="2">
    <tableColumn id="1" name="Value"/>
    <tableColumn id="2" name="Ca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" name="query_params" displayName="query_params" ref="A4:B7" totalsRowShown="0">
  <autoFilter ref="A4:B7"/>
  <tableColumns count="2">
    <tableColumn id="9" name="Наименование" dataDxfId="4"/>
    <tableColumn id="10" name="Значение" dataDxfId="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13" name="query_results" displayName="query_results" ref="A3:G5" tableType="queryTable" totalsRowShown="0">
  <autoFilter ref="A3:G5"/>
  <tableColumns count="7">
    <tableColumn id="8" uniqueName="8" name="NO" queryTableFieldId="1"/>
    <tableColumn id="9" uniqueName="9" name="CODE" queryTableFieldId="2"/>
    <tableColumn id="10" uniqueName="10" name="UPPER_CODE" queryTableFieldId="3"/>
    <tableColumn id="11" uniqueName="11" name="NAME" queryTableFieldId="4"/>
    <tableColumn id="12" uniqueName="12" name="UPPER_NAME" queryTableFieldId="5"/>
    <tableColumn id="13" uniqueName="13" name="DESCRIPTION" queryTableFieldId="6"/>
    <tableColumn id="14" uniqueName="14" name="PARAM1" queryTableField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0000"/>
  </sheetPr>
  <dimension ref="A1:B8"/>
  <sheetViews>
    <sheetView workbookViewId="0">
      <selection activeCell="B5" sqref="B5"/>
    </sheetView>
  </sheetViews>
  <sheetFormatPr defaultRowHeight="15" x14ac:dyDescent="0.25"/>
  <cols>
    <col min="1" max="1" width="30" bestFit="1" customWidth="1"/>
    <col min="2" max="2" width="113.85546875" bestFit="1" customWidth="1"/>
  </cols>
  <sheetData>
    <row r="1" spans="1:2" x14ac:dyDescent="0.25">
      <c r="A1" t="s">
        <v>9</v>
      </c>
    </row>
    <row r="2" spans="1:2" x14ac:dyDescent="0.25">
      <c r="A2" t="s">
        <v>10</v>
      </c>
      <c r="B2" t="s">
        <v>3</v>
      </c>
    </row>
    <row r="3" spans="1:2" x14ac:dyDescent="0.25">
      <c r="A3" t="s">
        <v>11</v>
      </c>
      <c r="B3" s="4"/>
    </row>
    <row r="4" spans="1:2" x14ac:dyDescent="0.25">
      <c r="A4" t="s">
        <v>12</v>
      </c>
      <c r="B4" s="4"/>
    </row>
    <row r="5" spans="1:2" x14ac:dyDescent="0.25">
      <c r="A5" t="s">
        <v>13</v>
      </c>
      <c r="B5" s="4"/>
    </row>
    <row r="6" spans="1:2" x14ac:dyDescent="0.25">
      <c r="A6" t="s">
        <v>17</v>
      </c>
      <c r="B6" s="4" t="s">
        <v>26</v>
      </c>
    </row>
    <row r="7" spans="1:2" x14ac:dyDescent="0.25">
      <c r="A7" t="s">
        <v>16</v>
      </c>
      <c r="B7" s="4" t="s">
        <v>27</v>
      </c>
    </row>
    <row r="8" spans="1:2" x14ac:dyDescent="0.25">
      <c r="A8" t="s">
        <v>18</v>
      </c>
      <c r="B8" s="4">
        <v>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0000"/>
  </sheetPr>
  <dimension ref="A1:C12"/>
  <sheetViews>
    <sheetView workbookViewId="0">
      <selection sqref="A1:C12"/>
    </sheetView>
  </sheetViews>
  <sheetFormatPr defaultRowHeight="15" x14ac:dyDescent="0.25"/>
  <cols>
    <col min="1" max="1" width="25.28515625" bestFit="1" customWidth="1"/>
    <col min="2" max="2" width="21.5703125" bestFit="1" customWidth="1"/>
    <col min="3" max="3" width="28.140625" style="6" bestFit="1" customWidth="1"/>
  </cols>
  <sheetData>
    <row r="1" spans="1:3" x14ac:dyDescent="0.25">
      <c r="A1" s="1" t="s">
        <v>19</v>
      </c>
      <c r="B1" s="1" t="s">
        <v>14</v>
      </c>
      <c r="C1" s="5" t="s">
        <v>20</v>
      </c>
    </row>
    <row r="2" spans="1:3" x14ac:dyDescent="0.25">
      <c r="A2" s="1" t="s">
        <v>230</v>
      </c>
      <c r="B2" s="1" t="s">
        <v>231</v>
      </c>
      <c r="C2" s="5" t="s">
        <v>232</v>
      </c>
    </row>
    <row r="3" spans="1:3" x14ac:dyDescent="0.25">
      <c r="A3" s="1" t="s">
        <v>233</v>
      </c>
      <c r="B3" s="1" t="s">
        <v>234</v>
      </c>
      <c r="C3" s="5" t="s">
        <v>235</v>
      </c>
    </row>
    <row r="4" spans="1:3" x14ac:dyDescent="0.25">
      <c r="A4" s="1" t="s">
        <v>233</v>
      </c>
      <c r="B4" s="1" t="s">
        <v>236</v>
      </c>
      <c r="C4" s="5" t="s">
        <v>237</v>
      </c>
    </row>
    <row r="5" spans="1:3" x14ac:dyDescent="0.25">
      <c r="A5" s="1" t="s">
        <v>233</v>
      </c>
      <c r="B5" s="1" t="s">
        <v>238</v>
      </c>
      <c r="C5" s="5" t="s">
        <v>239</v>
      </c>
    </row>
    <row r="6" spans="1:3" x14ac:dyDescent="0.25">
      <c r="A6" s="1" t="s">
        <v>240</v>
      </c>
      <c r="B6" s="1" t="s">
        <v>241</v>
      </c>
      <c r="C6" s="5" t="b">
        <v>1</v>
      </c>
    </row>
    <row r="7" spans="1:3" x14ac:dyDescent="0.25">
      <c r="A7" s="1" t="s">
        <v>240</v>
      </c>
      <c r="B7" s="1" t="s">
        <v>242</v>
      </c>
      <c r="C7" s="5" t="b">
        <v>1</v>
      </c>
    </row>
    <row r="8" spans="1:3" x14ac:dyDescent="0.25">
      <c r="A8" s="1" t="s">
        <v>240</v>
      </c>
      <c r="B8" s="1" t="s">
        <v>243</v>
      </c>
      <c r="C8" s="5" t="b">
        <v>0</v>
      </c>
    </row>
    <row r="9" spans="1:3" x14ac:dyDescent="0.25">
      <c r="A9" s="1" t="s">
        <v>244</v>
      </c>
      <c r="B9" s="1" t="s">
        <v>245</v>
      </c>
      <c r="C9" s="5" t="b">
        <v>1</v>
      </c>
    </row>
    <row r="10" spans="1:3" x14ac:dyDescent="0.25">
      <c r="A10" s="1" t="s">
        <v>246</v>
      </c>
      <c r="B10" s="1" t="s">
        <v>247</v>
      </c>
      <c r="C10" s="5" t="b">
        <v>1</v>
      </c>
    </row>
    <row r="11" spans="1:3" x14ac:dyDescent="0.25">
      <c r="A11" s="1" t="s">
        <v>248</v>
      </c>
      <c r="B11" s="1" t="s">
        <v>247</v>
      </c>
      <c r="C11" s="5" t="b">
        <v>1</v>
      </c>
    </row>
    <row r="12" spans="1:3" x14ac:dyDescent="0.25">
      <c r="A12" s="1" t="s">
        <v>248</v>
      </c>
      <c r="B12" s="1" t="s">
        <v>249</v>
      </c>
      <c r="C12" s="5" t="b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FF0000"/>
  </sheetPr>
  <dimension ref="A1:K4"/>
  <sheetViews>
    <sheetView workbookViewId="0">
      <selection activeCell="G1" sqref="G1"/>
    </sheetView>
  </sheetViews>
  <sheetFormatPr defaultRowHeight="15" x14ac:dyDescent="0.25"/>
  <cols>
    <col min="1" max="1" width="10.28515625" bestFit="1" customWidth="1"/>
    <col min="2" max="2" width="11.28515625" bestFit="1" customWidth="1"/>
    <col min="3" max="3" width="11.140625" bestFit="1" customWidth="1"/>
    <col min="4" max="4" width="13.5703125" bestFit="1" customWidth="1"/>
    <col min="5" max="5" width="12.7109375" bestFit="1" customWidth="1"/>
    <col min="6" max="6" width="9.7109375" bestFit="1" customWidth="1"/>
    <col min="7" max="7" width="9" bestFit="1" customWidth="1"/>
    <col min="8" max="8" width="7.85546875" bestFit="1" customWidth="1"/>
    <col min="9" max="9" width="11.42578125" bestFit="1" customWidth="1"/>
    <col min="10" max="10" width="14.28515625" bestFit="1" customWidth="1"/>
    <col min="11" max="11" width="10" customWidth="1"/>
  </cols>
  <sheetData>
    <row r="1" spans="1:11" x14ac:dyDescent="0.25">
      <c r="A1" s="1" t="s">
        <v>24</v>
      </c>
      <c r="B1" s="1" t="s">
        <v>25</v>
      </c>
      <c r="C1" s="1" t="s">
        <v>32</v>
      </c>
      <c r="D1" s="1" t="s">
        <v>1</v>
      </c>
      <c r="E1" s="1" t="s">
        <v>2</v>
      </c>
      <c r="F1" s="1" t="s">
        <v>14</v>
      </c>
      <c r="G1" s="1" t="s">
        <v>20</v>
      </c>
      <c r="H1" s="1" t="s">
        <v>23</v>
      </c>
      <c r="I1" s="1" t="s">
        <v>22</v>
      </c>
      <c r="J1" s="1" t="s">
        <v>21</v>
      </c>
      <c r="K1" s="1" t="s">
        <v>15</v>
      </c>
    </row>
    <row r="2" spans="1:11" x14ac:dyDescent="0.25">
      <c r="A2" s="1">
        <v>385697868</v>
      </c>
      <c r="B2" s="1">
        <v>386940386</v>
      </c>
      <c r="C2" s="1" t="s">
        <v>33</v>
      </c>
      <c r="D2" s="1" t="s">
        <v>34</v>
      </c>
      <c r="E2" s="1" t="s">
        <v>28</v>
      </c>
      <c r="F2" s="1" t="s">
        <v>35</v>
      </c>
      <c r="G2" s="1">
        <f>INDEX(ObjectParam1[],Параметры!B5,1)</f>
        <v>10463516</v>
      </c>
      <c r="H2" s="1">
        <v>0</v>
      </c>
      <c r="I2" s="1">
        <v>0</v>
      </c>
      <c r="J2" s="1"/>
      <c r="K2" s="1">
        <v>386940394</v>
      </c>
    </row>
    <row r="3" spans="1:11" x14ac:dyDescent="0.25">
      <c r="A3" s="1">
        <v>385697868</v>
      </c>
      <c r="B3" s="1">
        <v>386940386</v>
      </c>
      <c r="C3" s="1" t="s">
        <v>33</v>
      </c>
      <c r="D3" s="1" t="s">
        <v>36</v>
      </c>
      <c r="E3" s="1" t="s">
        <v>28</v>
      </c>
      <c r="F3" s="1" t="s">
        <v>37</v>
      </c>
      <c r="G3" s="1">
        <f>INDEX(ObjectParam2[],Параметры!B6,1)</f>
        <v>10485233</v>
      </c>
      <c r="H3" s="1">
        <v>0</v>
      </c>
      <c r="I3" s="1">
        <v>0</v>
      </c>
      <c r="J3" s="1"/>
      <c r="K3" s="1">
        <v>386940395</v>
      </c>
    </row>
    <row r="4" spans="1:11" x14ac:dyDescent="0.25">
      <c r="A4" s="1">
        <v>11531214</v>
      </c>
      <c r="B4" s="1">
        <v>386940386</v>
      </c>
      <c r="C4" s="1" t="s">
        <v>33</v>
      </c>
      <c r="D4" s="1" t="s">
        <v>38</v>
      </c>
      <c r="E4" s="1" t="s">
        <v>39</v>
      </c>
      <c r="F4" s="1" t="s">
        <v>38</v>
      </c>
      <c r="G4" s="1" t="str">
        <f>INDEX(Param3Values[],Параметры!B7,1)</f>
        <v>T</v>
      </c>
      <c r="H4" s="1">
        <v>25</v>
      </c>
      <c r="I4" s="1">
        <v>25</v>
      </c>
      <c r="J4" s="1"/>
      <c r="K4" s="1">
        <v>386940396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C00000"/>
  </sheetPr>
  <dimension ref="A1:D100"/>
  <sheetViews>
    <sheetView topLeftCell="A2" workbookViewId="0">
      <selection sqref="A1:D100"/>
    </sheetView>
  </sheetViews>
  <sheetFormatPr defaultRowHeight="15" x14ac:dyDescent="0.25"/>
  <cols>
    <col min="1" max="1" width="10" bestFit="1" customWidth="1"/>
    <col min="2" max="2" width="7.140625" bestFit="1" customWidth="1"/>
    <col min="3" max="3" width="41.28515625" bestFit="1" customWidth="1"/>
    <col min="4" max="4" width="77" bestFit="1" customWidth="1"/>
    <col min="5" max="5" width="10.28515625" bestFit="1" customWidth="1"/>
    <col min="8" max="8" width="10.28515625" bestFit="1" customWidth="1"/>
  </cols>
  <sheetData>
    <row r="1" spans="1:4" x14ac:dyDescent="0.25">
      <c r="A1" s="1" t="s">
        <v>15</v>
      </c>
      <c r="B1" s="1" t="s">
        <v>45</v>
      </c>
      <c r="C1" s="1" t="s">
        <v>43</v>
      </c>
      <c r="D1" s="1" t="s">
        <v>44</v>
      </c>
    </row>
    <row r="2" spans="1:4" x14ac:dyDescent="0.25">
      <c r="A2" s="1">
        <v>10463516</v>
      </c>
      <c r="B2" s="1"/>
      <c r="C2" s="1" t="s">
        <v>46</v>
      </c>
      <c r="D2" s="1" t="s">
        <v>47</v>
      </c>
    </row>
    <row r="3" spans="1:4" x14ac:dyDescent="0.25">
      <c r="A3" s="1">
        <v>10463723</v>
      </c>
      <c r="B3" s="1"/>
      <c r="C3" s="1" t="s">
        <v>48</v>
      </c>
      <c r="D3" s="1" t="s">
        <v>49</v>
      </c>
    </row>
    <row r="4" spans="1:4" x14ac:dyDescent="0.25">
      <c r="A4" s="1">
        <v>81057076</v>
      </c>
      <c r="B4" s="1"/>
      <c r="C4" s="1" t="s">
        <v>50</v>
      </c>
      <c r="D4" s="1" t="s">
        <v>51</v>
      </c>
    </row>
    <row r="5" spans="1:4" x14ac:dyDescent="0.25">
      <c r="A5" s="1">
        <v>10464285</v>
      </c>
      <c r="B5" s="1"/>
      <c r="C5" s="1" t="s">
        <v>52</v>
      </c>
      <c r="D5" s="1" t="s">
        <v>53</v>
      </c>
    </row>
    <row r="6" spans="1:4" x14ac:dyDescent="0.25">
      <c r="A6" s="1">
        <v>10465093</v>
      </c>
      <c r="B6" s="1"/>
      <c r="C6" s="1" t="s">
        <v>54</v>
      </c>
      <c r="D6" s="1" t="s">
        <v>55</v>
      </c>
    </row>
    <row r="7" spans="1:4" x14ac:dyDescent="0.25">
      <c r="A7" s="1">
        <v>10465097</v>
      </c>
      <c r="B7" s="1"/>
      <c r="C7" s="1" t="s">
        <v>56</v>
      </c>
      <c r="D7" s="1" t="s">
        <v>57</v>
      </c>
    </row>
    <row r="8" spans="1:4" x14ac:dyDescent="0.25">
      <c r="A8" s="1">
        <v>10466002</v>
      </c>
      <c r="B8" s="1"/>
      <c r="C8" s="1" t="s">
        <v>58</v>
      </c>
      <c r="D8" s="1" t="s">
        <v>59</v>
      </c>
    </row>
    <row r="9" spans="1:4" x14ac:dyDescent="0.25">
      <c r="A9" s="1">
        <v>10470435</v>
      </c>
      <c r="B9" s="1"/>
      <c r="C9" s="1" t="s">
        <v>60</v>
      </c>
      <c r="D9" s="1" t="s">
        <v>61</v>
      </c>
    </row>
    <row r="10" spans="1:4" x14ac:dyDescent="0.25">
      <c r="A10" s="1">
        <v>10471528</v>
      </c>
      <c r="B10" s="1"/>
      <c r="C10" s="1" t="s">
        <v>62</v>
      </c>
      <c r="D10" s="1" t="s">
        <v>63</v>
      </c>
    </row>
    <row r="11" spans="1:4" x14ac:dyDescent="0.25">
      <c r="A11" s="1">
        <v>10472629</v>
      </c>
      <c r="B11" s="1"/>
      <c r="C11" s="1" t="s">
        <v>64</v>
      </c>
      <c r="D11" s="1" t="s">
        <v>65</v>
      </c>
    </row>
    <row r="12" spans="1:4" x14ac:dyDescent="0.25">
      <c r="A12" s="1">
        <v>10475584</v>
      </c>
      <c r="B12" s="1"/>
      <c r="C12" s="1" t="s">
        <v>66</v>
      </c>
      <c r="D12" s="1" t="s">
        <v>67</v>
      </c>
    </row>
    <row r="13" spans="1:4" x14ac:dyDescent="0.25">
      <c r="A13" s="1">
        <v>10476168</v>
      </c>
      <c r="B13" s="1"/>
      <c r="C13" s="1" t="s">
        <v>68</v>
      </c>
      <c r="D13" s="1" t="s">
        <v>69</v>
      </c>
    </row>
    <row r="14" spans="1:4" x14ac:dyDescent="0.25">
      <c r="A14" s="1">
        <v>10476800</v>
      </c>
      <c r="B14" s="1"/>
      <c r="C14" s="1" t="s">
        <v>70</v>
      </c>
      <c r="D14" s="1" t="s">
        <v>71</v>
      </c>
    </row>
    <row r="15" spans="1:4" x14ac:dyDescent="0.25">
      <c r="A15" s="1">
        <v>10482202</v>
      </c>
      <c r="B15" s="1"/>
      <c r="C15" s="1" t="s">
        <v>72</v>
      </c>
      <c r="D15" s="1" t="s">
        <v>73</v>
      </c>
    </row>
    <row r="16" spans="1:4" x14ac:dyDescent="0.25">
      <c r="A16" s="1">
        <v>10485233</v>
      </c>
      <c r="B16" s="1"/>
      <c r="C16" s="1" t="s">
        <v>74</v>
      </c>
      <c r="D16" s="1" t="s">
        <v>75</v>
      </c>
    </row>
    <row r="17" spans="1:4" x14ac:dyDescent="0.25">
      <c r="A17" s="1">
        <v>10489788</v>
      </c>
      <c r="B17" s="1"/>
      <c r="C17" s="1" t="s">
        <v>76</v>
      </c>
      <c r="D17" s="1" t="s">
        <v>77</v>
      </c>
    </row>
    <row r="18" spans="1:4" x14ac:dyDescent="0.25">
      <c r="A18" s="1">
        <v>10492015</v>
      </c>
      <c r="B18" s="1"/>
      <c r="C18" s="1" t="s">
        <v>78</v>
      </c>
      <c r="D18" s="1" t="s">
        <v>79</v>
      </c>
    </row>
    <row r="19" spans="1:4" x14ac:dyDescent="0.25">
      <c r="A19" s="1">
        <v>10494166</v>
      </c>
      <c r="B19" s="1"/>
      <c r="C19" s="1" t="s">
        <v>80</v>
      </c>
      <c r="D19" s="1" t="s">
        <v>81</v>
      </c>
    </row>
    <row r="20" spans="1:4" x14ac:dyDescent="0.25">
      <c r="A20" s="1">
        <v>10495664</v>
      </c>
      <c r="B20" s="1"/>
      <c r="C20" s="1" t="s">
        <v>82</v>
      </c>
      <c r="D20" s="1" t="s">
        <v>82</v>
      </c>
    </row>
    <row r="21" spans="1:4" x14ac:dyDescent="0.25">
      <c r="A21" s="1">
        <v>10500585</v>
      </c>
      <c r="B21" s="1"/>
      <c r="C21" s="1" t="s">
        <v>83</v>
      </c>
      <c r="D21" s="1" t="s">
        <v>84</v>
      </c>
    </row>
    <row r="22" spans="1:4" x14ac:dyDescent="0.25">
      <c r="A22" s="1">
        <v>10503358</v>
      </c>
      <c r="B22" s="1"/>
      <c r="C22" s="1" t="s">
        <v>85</v>
      </c>
      <c r="D22" s="1" t="s">
        <v>86</v>
      </c>
    </row>
    <row r="23" spans="1:4" x14ac:dyDescent="0.25">
      <c r="A23" s="1">
        <v>10505826</v>
      </c>
      <c r="B23" s="1"/>
      <c r="C23" s="1" t="s">
        <v>87</v>
      </c>
      <c r="D23" s="1" t="s">
        <v>88</v>
      </c>
    </row>
    <row r="24" spans="1:4" x14ac:dyDescent="0.25">
      <c r="A24" s="1">
        <v>10506774</v>
      </c>
      <c r="B24" s="1"/>
      <c r="C24" s="1" t="s">
        <v>89</v>
      </c>
      <c r="D24" s="1" t="s">
        <v>90</v>
      </c>
    </row>
    <row r="25" spans="1:4" x14ac:dyDescent="0.25">
      <c r="A25" s="1">
        <v>10506802</v>
      </c>
      <c r="B25" s="1"/>
      <c r="C25" s="1" t="s">
        <v>91</v>
      </c>
      <c r="D25" s="1" t="s">
        <v>91</v>
      </c>
    </row>
    <row r="26" spans="1:4" x14ac:dyDescent="0.25">
      <c r="A26" s="1">
        <v>10506826</v>
      </c>
      <c r="B26" s="1"/>
      <c r="C26" s="1" t="s">
        <v>92</v>
      </c>
      <c r="D26" s="1" t="s">
        <v>92</v>
      </c>
    </row>
    <row r="27" spans="1:4" x14ac:dyDescent="0.25">
      <c r="A27" s="1">
        <v>10506992</v>
      </c>
      <c r="B27" s="1"/>
      <c r="C27" s="1" t="s">
        <v>93</v>
      </c>
      <c r="D27" s="1" t="s">
        <v>93</v>
      </c>
    </row>
    <row r="28" spans="1:4" x14ac:dyDescent="0.25">
      <c r="A28" s="1">
        <v>10514406</v>
      </c>
      <c r="B28" s="1"/>
      <c r="C28" s="1" t="s">
        <v>94</v>
      </c>
      <c r="D28" s="1" t="s">
        <v>94</v>
      </c>
    </row>
    <row r="29" spans="1:4" x14ac:dyDescent="0.25">
      <c r="A29" s="1">
        <v>10531557</v>
      </c>
      <c r="B29" s="1"/>
      <c r="C29" s="1" t="s">
        <v>95</v>
      </c>
      <c r="D29" s="1" t="s">
        <v>96</v>
      </c>
    </row>
    <row r="30" spans="1:4" x14ac:dyDescent="0.25">
      <c r="A30" s="1">
        <v>10549363</v>
      </c>
      <c r="B30" s="1"/>
      <c r="C30" s="1" t="s">
        <v>97</v>
      </c>
      <c r="D30" s="1" t="s">
        <v>97</v>
      </c>
    </row>
    <row r="31" spans="1:4" x14ac:dyDescent="0.25">
      <c r="A31" s="1">
        <v>10557499</v>
      </c>
      <c r="B31" s="1"/>
      <c r="C31" s="1" t="s">
        <v>98</v>
      </c>
      <c r="D31" s="1" t="s">
        <v>99</v>
      </c>
    </row>
    <row r="32" spans="1:4" x14ac:dyDescent="0.25">
      <c r="A32" s="1">
        <v>10574415</v>
      </c>
      <c r="B32" s="1"/>
      <c r="C32" s="1" t="s">
        <v>100</v>
      </c>
      <c r="D32" s="1" t="s">
        <v>101</v>
      </c>
    </row>
    <row r="33" spans="1:4" x14ac:dyDescent="0.25">
      <c r="A33" s="1">
        <v>10781458</v>
      </c>
      <c r="B33" s="1"/>
      <c r="C33" s="1" t="s">
        <v>102</v>
      </c>
      <c r="D33" s="1" t="s">
        <v>102</v>
      </c>
    </row>
    <row r="34" spans="1:4" x14ac:dyDescent="0.25">
      <c r="A34" s="1">
        <v>10784935</v>
      </c>
      <c r="B34" s="1"/>
      <c r="C34" s="1" t="s">
        <v>103</v>
      </c>
      <c r="D34" s="1" t="s">
        <v>103</v>
      </c>
    </row>
    <row r="35" spans="1:4" x14ac:dyDescent="0.25">
      <c r="A35" s="1">
        <v>10785088</v>
      </c>
      <c r="B35" s="1"/>
      <c r="C35" s="1" t="s">
        <v>104</v>
      </c>
      <c r="D35" s="1" t="s">
        <v>104</v>
      </c>
    </row>
    <row r="36" spans="1:4" x14ac:dyDescent="0.25">
      <c r="A36" s="1">
        <v>10785026</v>
      </c>
      <c r="B36" s="1"/>
      <c r="C36" s="1" t="s">
        <v>105</v>
      </c>
      <c r="D36" s="1" t="s">
        <v>106</v>
      </c>
    </row>
    <row r="37" spans="1:4" x14ac:dyDescent="0.25">
      <c r="A37" s="1">
        <v>10785027</v>
      </c>
      <c r="B37" s="1"/>
      <c r="C37" s="1" t="s">
        <v>107</v>
      </c>
      <c r="D37" s="1" t="s">
        <v>108</v>
      </c>
    </row>
    <row r="38" spans="1:4" x14ac:dyDescent="0.25">
      <c r="A38" s="1">
        <v>10785028</v>
      </c>
      <c r="B38" s="1"/>
      <c r="C38" s="1" t="s">
        <v>109</v>
      </c>
      <c r="D38" s="1" t="s">
        <v>110</v>
      </c>
    </row>
    <row r="39" spans="1:4" x14ac:dyDescent="0.25">
      <c r="A39" s="1">
        <v>10785029</v>
      </c>
      <c r="B39" s="1"/>
      <c r="C39" s="1" t="s">
        <v>111</v>
      </c>
      <c r="D39" s="1" t="s">
        <v>112</v>
      </c>
    </row>
    <row r="40" spans="1:4" x14ac:dyDescent="0.25">
      <c r="A40" s="1">
        <v>10785030</v>
      </c>
      <c r="B40" s="1"/>
      <c r="C40" s="1" t="s">
        <v>113</v>
      </c>
      <c r="D40" s="1" t="s">
        <v>114</v>
      </c>
    </row>
    <row r="41" spans="1:4" x14ac:dyDescent="0.25">
      <c r="A41" s="1">
        <v>10785031</v>
      </c>
      <c r="B41" s="1"/>
      <c r="C41" s="1" t="s">
        <v>115</v>
      </c>
      <c r="D41" s="1" t="s">
        <v>116</v>
      </c>
    </row>
    <row r="42" spans="1:4" x14ac:dyDescent="0.25">
      <c r="A42" s="1">
        <v>10785032</v>
      </c>
      <c r="B42" s="1"/>
      <c r="C42" s="1" t="s">
        <v>117</v>
      </c>
      <c r="D42" s="1" t="s">
        <v>118</v>
      </c>
    </row>
    <row r="43" spans="1:4" x14ac:dyDescent="0.25">
      <c r="A43" s="1">
        <v>10785033</v>
      </c>
      <c r="B43" s="1"/>
      <c r="C43" s="1" t="s">
        <v>119</v>
      </c>
      <c r="D43" s="1" t="s">
        <v>120</v>
      </c>
    </row>
    <row r="44" spans="1:4" x14ac:dyDescent="0.25">
      <c r="A44" s="1">
        <v>10785034</v>
      </c>
      <c r="B44" s="1"/>
      <c r="C44" s="1" t="s">
        <v>121</v>
      </c>
      <c r="D44" s="1" t="s">
        <v>121</v>
      </c>
    </row>
    <row r="45" spans="1:4" x14ac:dyDescent="0.25">
      <c r="A45" s="1">
        <v>10785035</v>
      </c>
      <c r="B45" s="1"/>
      <c r="C45" s="1" t="s">
        <v>122</v>
      </c>
      <c r="D45" s="1" t="s">
        <v>123</v>
      </c>
    </row>
    <row r="46" spans="1:4" x14ac:dyDescent="0.25">
      <c r="A46" s="1">
        <v>10785036</v>
      </c>
      <c r="B46" s="1"/>
      <c r="C46" s="1" t="s">
        <v>124</v>
      </c>
      <c r="D46" s="1" t="s">
        <v>125</v>
      </c>
    </row>
    <row r="47" spans="1:4" x14ac:dyDescent="0.25">
      <c r="A47" s="1">
        <v>10785037</v>
      </c>
      <c r="B47" s="1"/>
      <c r="C47" s="1" t="s">
        <v>126</v>
      </c>
      <c r="D47" s="1" t="s">
        <v>127</v>
      </c>
    </row>
    <row r="48" spans="1:4" x14ac:dyDescent="0.25">
      <c r="A48" s="1">
        <v>10785038</v>
      </c>
      <c r="B48" s="1"/>
      <c r="C48" s="1" t="s">
        <v>128</v>
      </c>
      <c r="D48" s="1" t="s">
        <v>129</v>
      </c>
    </row>
    <row r="49" spans="1:4" x14ac:dyDescent="0.25">
      <c r="A49" s="1">
        <v>10785043</v>
      </c>
      <c r="B49" s="1"/>
      <c r="C49" s="1" t="s">
        <v>130</v>
      </c>
      <c r="D49" s="1" t="s">
        <v>131</v>
      </c>
    </row>
    <row r="50" spans="1:4" x14ac:dyDescent="0.25">
      <c r="A50" s="1">
        <v>10785044</v>
      </c>
      <c r="B50" s="1"/>
      <c r="C50" s="1" t="s">
        <v>132</v>
      </c>
      <c r="D50" s="1" t="s">
        <v>133</v>
      </c>
    </row>
    <row r="51" spans="1:4" x14ac:dyDescent="0.25">
      <c r="A51" s="1">
        <v>10785045</v>
      </c>
      <c r="B51" s="1"/>
      <c r="C51" s="1" t="s">
        <v>134</v>
      </c>
      <c r="D51" s="1" t="s">
        <v>135</v>
      </c>
    </row>
    <row r="52" spans="1:4" x14ac:dyDescent="0.25">
      <c r="A52" s="1">
        <v>10785046</v>
      </c>
      <c r="B52" s="1"/>
      <c r="C52" s="1" t="s">
        <v>136</v>
      </c>
      <c r="D52" s="1" t="s">
        <v>137</v>
      </c>
    </row>
    <row r="53" spans="1:4" x14ac:dyDescent="0.25">
      <c r="A53" s="1">
        <v>10785047</v>
      </c>
      <c r="B53" s="1"/>
      <c r="C53" s="1" t="s">
        <v>138</v>
      </c>
      <c r="D53" s="1" t="s">
        <v>139</v>
      </c>
    </row>
    <row r="54" spans="1:4" x14ac:dyDescent="0.25">
      <c r="A54" s="1">
        <v>10785048</v>
      </c>
      <c r="B54" s="1"/>
      <c r="C54" s="1" t="s">
        <v>140</v>
      </c>
      <c r="D54" s="1" t="s">
        <v>141</v>
      </c>
    </row>
    <row r="55" spans="1:4" x14ac:dyDescent="0.25">
      <c r="A55" s="1">
        <v>10785049</v>
      </c>
      <c r="B55" s="1"/>
      <c r="C55" s="1" t="s">
        <v>142</v>
      </c>
      <c r="D55" s="1" t="s">
        <v>92</v>
      </c>
    </row>
    <row r="56" spans="1:4" x14ac:dyDescent="0.25">
      <c r="A56" s="1">
        <v>10785050</v>
      </c>
      <c r="B56" s="1"/>
      <c r="C56" s="1" t="s">
        <v>143</v>
      </c>
      <c r="D56" s="1" t="s">
        <v>144</v>
      </c>
    </row>
    <row r="57" spans="1:4" x14ac:dyDescent="0.25">
      <c r="A57" s="1">
        <v>10785051</v>
      </c>
      <c r="B57" s="1"/>
      <c r="C57" s="1" t="s">
        <v>145</v>
      </c>
      <c r="D57" s="1" t="s">
        <v>146</v>
      </c>
    </row>
    <row r="58" spans="1:4" x14ac:dyDescent="0.25">
      <c r="A58" s="1">
        <v>10785052</v>
      </c>
      <c r="B58" s="1"/>
      <c r="C58" s="1" t="s">
        <v>147</v>
      </c>
      <c r="D58" s="1" t="s">
        <v>148</v>
      </c>
    </row>
    <row r="59" spans="1:4" x14ac:dyDescent="0.25">
      <c r="A59" s="1">
        <v>10785267</v>
      </c>
      <c r="B59" s="1"/>
      <c r="C59" s="1" t="s">
        <v>149</v>
      </c>
      <c r="D59" s="1" t="s">
        <v>150</v>
      </c>
    </row>
    <row r="60" spans="1:4" x14ac:dyDescent="0.25">
      <c r="A60" s="1">
        <v>10785268</v>
      </c>
      <c r="B60" s="1"/>
      <c r="C60" s="1" t="s">
        <v>151</v>
      </c>
      <c r="D60" s="1" t="s">
        <v>152</v>
      </c>
    </row>
    <row r="61" spans="1:4" x14ac:dyDescent="0.25">
      <c r="A61" s="1">
        <v>10785269</v>
      </c>
      <c r="B61" s="1"/>
      <c r="C61" s="1" t="s">
        <v>153</v>
      </c>
      <c r="D61" s="1" t="s">
        <v>154</v>
      </c>
    </row>
    <row r="62" spans="1:4" x14ac:dyDescent="0.25">
      <c r="A62" s="1">
        <v>10785270</v>
      </c>
      <c r="B62" s="1"/>
      <c r="C62" s="1" t="s">
        <v>155</v>
      </c>
      <c r="D62" s="1" t="s">
        <v>156</v>
      </c>
    </row>
    <row r="63" spans="1:4" x14ac:dyDescent="0.25">
      <c r="A63" s="1">
        <v>10785271</v>
      </c>
      <c r="B63" s="1"/>
      <c r="C63" s="1" t="s">
        <v>157</v>
      </c>
      <c r="D63" s="1" t="s">
        <v>158</v>
      </c>
    </row>
    <row r="64" spans="1:4" x14ac:dyDescent="0.25">
      <c r="A64" s="1">
        <v>10785272</v>
      </c>
      <c r="B64" s="1"/>
      <c r="C64" s="1" t="s">
        <v>159</v>
      </c>
      <c r="D64" s="1" t="s">
        <v>160</v>
      </c>
    </row>
    <row r="65" spans="1:4" x14ac:dyDescent="0.25">
      <c r="A65" s="1">
        <v>10785273</v>
      </c>
      <c r="B65" s="1"/>
      <c r="C65" s="1" t="s">
        <v>161</v>
      </c>
      <c r="D65" s="1" t="s">
        <v>162</v>
      </c>
    </row>
    <row r="66" spans="1:4" x14ac:dyDescent="0.25">
      <c r="A66" s="1">
        <v>10785274</v>
      </c>
      <c r="B66" s="1"/>
      <c r="C66" s="1" t="s">
        <v>163</v>
      </c>
      <c r="D66" s="1" t="s">
        <v>164</v>
      </c>
    </row>
    <row r="67" spans="1:4" x14ac:dyDescent="0.25">
      <c r="A67" s="1">
        <v>10785275</v>
      </c>
      <c r="B67" s="1"/>
      <c r="C67" s="1" t="s">
        <v>165</v>
      </c>
      <c r="D67" s="1" t="s">
        <v>166</v>
      </c>
    </row>
    <row r="68" spans="1:4" x14ac:dyDescent="0.25">
      <c r="A68" s="1">
        <v>10785276</v>
      </c>
      <c r="B68" s="1"/>
      <c r="C68" s="1" t="s">
        <v>167</v>
      </c>
      <c r="D68" s="1" t="s">
        <v>168</v>
      </c>
    </row>
    <row r="69" spans="1:4" x14ac:dyDescent="0.25">
      <c r="A69" s="1">
        <v>18430734</v>
      </c>
      <c r="B69" s="1"/>
      <c r="C69" s="1" t="s">
        <v>130</v>
      </c>
      <c r="D69" s="1" t="s">
        <v>169</v>
      </c>
    </row>
    <row r="70" spans="1:4" x14ac:dyDescent="0.25">
      <c r="A70" s="1">
        <v>10344924</v>
      </c>
      <c r="B70" s="1"/>
      <c r="C70" s="1" t="s">
        <v>170</v>
      </c>
      <c r="D70" s="1" t="s">
        <v>171</v>
      </c>
    </row>
    <row r="71" spans="1:4" x14ac:dyDescent="0.25">
      <c r="A71" s="1">
        <v>10345787</v>
      </c>
      <c r="B71" s="1"/>
      <c r="C71" s="1" t="s">
        <v>172</v>
      </c>
      <c r="D71" s="1" t="s">
        <v>173</v>
      </c>
    </row>
    <row r="72" spans="1:4" x14ac:dyDescent="0.25">
      <c r="A72" s="1">
        <v>10345800</v>
      </c>
      <c r="B72" s="1"/>
      <c r="C72" s="1" t="s">
        <v>174</v>
      </c>
      <c r="D72" s="1" t="s">
        <v>175</v>
      </c>
    </row>
    <row r="73" spans="1:4" x14ac:dyDescent="0.25">
      <c r="A73" s="1">
        <v>10345833</v>
      </c>
      <c r="B73" s="1"/>
      <c r="C73" s="1" t="s">
        <v>176</v>
      </c>
      <c r="D73" s="1" t="s">
        <v>177</v>
      </c>
    </row>
    <row r="74" spans="1:4" x14ac:dyDescent="0.25">
      <c r="A74" s="1">
        <v>10345837</v>
      </c>
      <c r="B74" s="1"/>
      <c r="C74" s="1" t="s">
        <v>178</v>
      </c>
      <c r="D74" s="1" t="s">
        <v>179</v>
      </c>
    </row>
    <row r="75" spans="1:4" x14ac:dyDescent="0.25">
      <c r="A75" s="1">
        <v>10790375</v>
      </c>
      <c r="B75" s="1"/>
      <c r="C75" s="1" t="s">
        <v>180</v>
      </c>
      <c r="D75" s="1" t="s">
        <v>181</v>
      </c>
    </row>
    <row r="76" spans="1:4" x14ac:dyDescent="0.25">
      <c r="A76" s="1">
        <v>86595022</v>
      </c>
      <c r="B76" s="1"/>
      <c r="C76" s="1" t="s">
        <v>182</v>
      </c>
      <c r="D76" s="1" t="s">
        <v>183</v>
      </c>
    </row>
    <row r="77" spans="1:4" x14ac:dyDescent="0.25">
      <c r="A77" s="1">
        <v>86598546</v>
      </c>
      <c r="B77" s="1"/>
      <c r="C77" s="1" t="s">
        <v>184</v>
      </c>
      <c r="D77" s="1" t="s">
        <v>185</v>
      </c>
    </row>
    <row r="78" spans="1:4" x14ac:dyDescent="0.25">
      <c r="A78" s="1">
        <v>10790378</v>
      </c>
      <c r="B78" s="1"/>
      <c r="C78" s="1" t="s">
        <v>186</v>
      </c>
      <c r="D78" s="1" t="s">
        <v>187</v>
      </c>
    </row>
    <row r="79" spans="1:4" x14ac:dyDescent="0.25">
      <c r="A79" s="1">
        <v>332778789</v>
      </c>
      <c r="B79" s="1"/>
      <c r="C79" s="1" t="s">
        <v>188</v>
      </c>
      <c r="D79" s="1" t="s">
        <v>189</v>
      </c>
    </row>
    <row r="80" spans="1:4" x14ac:dyDescent="0.25">
      <c r="A80" s="1">
        <v>86682387</v>
      </c>
      <c r="B80" s="1"/>
      <c r="C80" s="1" t="s">
        <v>190</v>
      </c>
      <c r="D80" s="1" t="s">
        <v>191</v>
      </c>
    </row>
    <row r="81" spans="1:4" x14ac:dyDescent="0.25">
      <c r="A81" s="1">
        <v>86682640</v>
      </c>
      <c r="B81" s="1"/>
      <c r="C81" s="1" t="s">
        <v>192</v>
      </c>
      <c r="D81" s="1" t="s">
        <v>193</v>
      </c>
    </row>
    <row r="82" spans="1:4" x14ac:dyDescent="0.25">
      <c r="A82" s="1">
        <v>86683498</v>
      </c>
      <c r="B82" s="1"/>
      <c r="C82" s="1" t="s">
        <v>194</v>
      </c>
      <c r="D82" s="1" t="s">
        <v>195</v>
      </c>
    </row>
    <row r="83" spans="1:4" x14ac:dyDescent="0.25">
      <c r="A83" s="1">
        <v>86683502</v>
      </c>
      <c r="B83" s="1"/>
      <c r="C83" s="1" t="s">
        <v>196</v>
      </c>
      <c r="D83" s="1" t="s">
        <v>197</v>
      </c>
    </row>
    <row r="84" spans="1:4" x14ac:dyDescent="0.25">
      <c r="A84" s="1">
        <v>86683781</v>
      </c>
      <c r="B84" s="1"/>
      <c r="C84" s="1"/>
      <c r="D84" s="1" t="s">
        <v>198</v>
      </c>
    </row>
    <row r="85" spans="1:4" x14ac:dyDescent="0.25">
      <c r="A85" s="1">
        <v>10790395</v>
      </c>
      <c r="B85" s="1"/>
      <c r="C85" s="1" t="s">
        <v>199</v>
      </c>
      <c r="D85" s="1" t="s">
        <v>200</v>
      </c>
    </row>
    <row r="86" spans="1:4" x14ac:dyDescent="0.25">
      <c r="A86" s="1">
        <v>10790396</v>
      </c>
      <c r="B86" s="1"/>
      <c r="C86" s="1" t="s">
        <v>201</v>
      </c>
      <c r="D86" s="1" t="s">
        <v>202</v>
      </c>
    </row>
    <row r="87" spans="1:4" x14ac:dyDescent="0.25">
      <c r="A87" s="1">
        <v>86684028</v>
      </c>
      <c r="B87" s="1"/>
      <c r="C87" s="1" t="s">
        <v>203</v>
      </c>
      <c r="D87" s="1" t="s">
        <v>204</v>
      </c>
    </row>
    <row r="88" spans="1:4" x14ac:dyDescent="0.25">
      <c r="A88" s="1">
        <v>86685621</v>
      </c>
      <c r="B88" s="1"/>
      <c r="C88" s="1" t="s">
        <v>205</v>
      </c>
      <c r="D88" s="1" t="s">
        <v>206</v>
      </c>
    </row>
    <row r="89" spans="1:4" x14ac:dyDescent="0.25">
      <c r="A89" s="1">
        <v>10790475</v>
      </c>
      <c r="B89" s="1"/>
      <c r="C89" s="1" t="s">
        <v>207</v>
      </c>
      <c r="D89" s="1" t="s">
        <v>208</v>
      </c>
    </row>
    <row r="90" spans="1:4" x14ac:dyDescent="0.25">
      <c r="A90" s="1">
        <v>10790481</v>
      </c>
      <c r="B90" s="1"/>
      <c r="C90" s="1" t="s">
        <v>209</v>
      </c>
      <c r="D90" s="1" t="s">
        <v>210</v>
      </c>
    </row>
    <row r="91" spans="1:4" x14ac:dyDescent="0.25">
      <c r="A91" s="1">
        <v>10790493</v>
      </c>
      <c r="B91" s="1"/>
      <c r="C91" s="1" t="s">
        <v>211</v>
      </c>
      <c r="D91" s="1" t="s">
        <v>82</v>
      </c>
    </row>
    <row r="92" spans="1:4" x14ac:dyDescent="0.25">
      <c r="A92" s="1">
        <v>24580709</v>
      </c>
      <c r="B92" s="1"/>
      <c r="C92" s="1" t="s">
        <v>212</v>
      </c>
      <c r="D92" s="1" t="s">
        <v>213</v>
      </c>
    </row>
    <row r="93" spans="1:4" x14ac:dyDescent="0.25">
      <c r="A93" s="1">
        <v>10790601</v>
      </c>
      <c r="B93" s="1"/>
      <c r="C93" s="1" t="s">
        <v>214</v>
      </c>
      <c r="D93" s="1" t="s">
        <v>215</v>
      </c>
    </row>
    <row r="94" spans="1:4" x14ac:dyDescent="0.25">
      <c r="A94" s="1">
        <v>11090924</v>
      </c>
      <c r="B94" s="1"/>
      <c r="C94" s="1" t="s">
        <v>216</v>
      </c>
      <c r="D94" s="1" t="s">
        <v>216</v>
      </c>
    </row>
    <row r="95" spans="1:4" x14ac:dyDescent="0.25">
      <c r="A95" s="1">
        <v>24557572</v>
      </c>
      <c r="B95" s="1"/>
      <c r="C95" s="1" t="s">
        <v>217</v>
      </c>
      <c r="D95" s="1" t="s">
        <v>218</v>
      </c>
    </row>
    <row r="96" spans="1:4" x14ac:dyDescent="0.25">
      <c r="A96" s="1">
        <v>24557574</v>
      </c>
      <c r="B96" s="1"/>
      <c r="C96" s="1" t="s">
        <v>219</v>
      </c>
      <c r="D96" s="1" t="s">
        <v>91</v>
      </c>
    </row>
    <row r="97" spans="1:4" x14ac:dyDescent="0.25">
      <c r="A97" s="1">
        <v>24557575</v>
      </c>
      <c r="B97" s="1"/>
      <c r="C97" s="1" t="s">
        <v>220</v>
      </c>
      <c r="D97" s="1" t="s">
        <v>221</v>
      </c>
    </row>
    <row r="98" spans="1:4" x14ac:dyDescent="0.25">
      <c r="A98" s="1">
        <v>24557576</v>
      </c>
      <c r="B98" s="1"/>
      <c r="C98" s="1" t="s">
        <v>222</v>
      </c>
      <c r="D98" s="1" t="s">
        <v>222</v>
      </c>
    </row>
    <row r="99" spans="1:4" x14ac:dyDescent="0.25">
      <c r="A99" s="1">
        <v>24557577</v>
      </c>
      <c r="B99" s="1"/>
      <c r="C99" s="1" t="s">
        <v>223</v>
      </c>
      <c r="D99" s="1" t="s">
        <v>223</v>
      </c>
    </row>
    <row r="100" spans="1:4" x14ac:dyDescent="0.25">
      <c r="A100" s="1">
        <v>24557578</v>
      </c>
      <c r="B100" s="1"/>
      <c r="C100" s="1" t="s">
        <v>224</v>
      </c>
      <c r="D100" s="1" t="s">
        <v>224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C00000"/>
  </sheetPr>
  <dimension ref="A1:D100"/>
  <sheetViews>
    <sheetView topLeftCell="A2" workbookViewId="0">
      <selection sqref="A1:D100"/>
    </sheetView>
  </sheetViews>
  <sheetFormatPr defaultRowHeight="15" x14ac:dyDescent="0.25"/>
  <cols>
    <col min="1" max="1" width="10" bestFit="1" customWidth="1"/>
    <col min="2" max="2" width="7.140625" bestFit="1" customWidth="1"/>
    <col min="3" max="3" width="41.28515625" bestFit="1" customWidth="1"/>
    <col min="4" max="4" width="77" bestFit="1" customWidth="1"/>
  </cols>
  <sheetData>
    <row r="1" spans="1:4" x14ac:dyDescent="0.25">
      <c r="A1" s="1" t="s">
        <v>15</v>
      </c>
      <c r="B1" s="1" t="s">
        <v>45</v>
      </c>
      <c r="C1" s="1" t="s">
        <v>43</v>
      </c>
      <c r="D1" s="1" t="s">
        <v>44</v>
      </c>
    </row>
    <row r="2" spans="1:4" x14ac:dyDescent="0.25">
      <c r="A2" s="1">
        <v>10463516</v>
      </c>
      <c r="B2" s="1"/>
      <c r="C2" s="1" t="s">
        <v>46</v>
      </c>
      <c r="D2" s="1" t="s">
        <v>47</v>
      </c>
    </row>
    <row r="3" spans="1:4" x14ac:dyDescent="0.25">
      <c r="A3" s="1">
        <v>10463723</v>
      </c>
      <c r="B3" s="1"/>
      <c r="C3" s="1" t="s">
        <v>48</v>
      </c>
      <c r="D3" s="1" t="s">
        <v>49</v>
      </c>
    </row>
    <row r="4" spans="1:4" x14ac:dyDescent="0.25">
      <c r="A4" s="1">
        <v>81057076</v>
      </c>
      <c r="B4" s="1"/>
      <c r="C4" s="1" t="s">
        <v>50</v>
      </c>
      <c r="D4" s="1" t="s">
        <v>51</v>
      </c>
    </row>
    <row r="5" spans="1:4" x14ac:dyDescent="0.25">
      <c r="A5" s="1">
        <v>10464285</v>
      </c>
      <c r="B5" s="1"/>
      <c r="C5" s="1" t="s">
        <v>52</v>
      </c>
      <c r="D5" s="1" t="s">
        <v>53</v>
      </c>
    </row>
    <row r="6" spans="1:4" x14ac:dyDescent="0.25">
      <c r="A6" s="1">
        <v>10465093</v>
      </c>
      <c r="B6" s="1"/>
      <c r="C6" s="1" t="s">
        <v>54</v>
      </c>
      <c r="D6" s="1" t="s">
        <v>55</v>
      </c>
    </row>
    <row r="7" spans="1:4" x14ac:dyDescent="0.25">
      <c r="A7" s="1">
        <v>10465097</v>
      </c>
      <c r="B7" s="1"/>
      <c r="C7" s="1" t="s">
        <v>56</v>
      </c>
      <c r="D7" s="1" t="s">
        <v>57</v>
      </c>
    </row>
    <row r="8" spans="1:4" x14ac:dyDescent="0.25">
      <c r="A8" s="1">
        <v>10466002</v>
      </c>
      <c r="B8" s="1"/>
      <c r="C8" s="1" t="s">
        <v>58</v>
      </c>
      <c r="D8" s="1" t="s">
        <v>59</v>
      </c>
    </row>
    <row r="9" spans="1:4" x14ac:dyDescent="0.25">
      <c r="A9" s="1">
        <v>10470435</v>
      </c>
      <c r="B9" s="1"/>
      <c r="C9" s="1" t="s">
        <v>60</v>
      </c>
      <c r="D9" s="1" t="s">
        <v>61</v>
      </c>
    </row>
    <row r="10" spans="1:4" x14ac:dyDescent="0.25">
      <c r="A10" s="1">
        <v>10471528</v>
      </c>
      <c r="B10" s="1"/>
      <c r="C10" s="1" t="s">
        <v>62</v>
      </c>
      <c r="D10" s="1" t="s">
        <v>63</v>
      </c>
    </row>
    <row r="11" spans="1:4" x14ac:dyDescent="0.25">
      <c r="A11" s="1">
        <v>10472629</v>
      </c>
      <c r="B11" s="1"/>
      <c r="C11" s="1" t="s">
        <v>64</v>
      </c>
      <c r="D11" s="1" t="s">
        <v>65</v>
      </c>
    </row>
    <row r="12" spans="1:4" x14ac:dyDescent="0.25">
      <c r="A12" s="1">
        <v>10475584</v>
      </c>
      <c r="B12" s="1"/>
      <c r="C12" s="1" t="s">
        <v>66</v>
      </c>
      <c r="D12" s="1" t="s">
        <v>67</v>
      </c>
    </row>
    <row r="13" spans="1:4" x14ac:dyDescent="0.25">
      <c r="A13" s="1">
        <v>10476168</v>
      </c>
      <c r="B13" s="1"/>
      <c r="C13" s="1" t="s">
        <v>68</v>
      </c>
      <c r="D13" s="1" t="s">
        <v>69</v>
      </c>
    </row>
    <row r="14" spans="1:4" x14ac:dyDescent="0.25">
      <c r="A14" s="1">
        <v>10476800</v>
      </c>
      <c r="B14" s="1"/>
      <c r="C14" s="1" t="s">
        <v>70</v>
      </c>
      <c r="D14" s="1" t="s">
        <v>71</v>
      </c>
    </row>
    <row r="15" spans="1:4" x14ac:dyDescent="0.25">
      <c r="A15" s="1">
        <v>10482202</v>
      </c>
      <c r="B15" s="1"/>
      <c r="C15" s="1" t="s">
        <v>72</v>
      </c>
      <c r="D15" s="1" t="s">
        <v>73</v>
      </c>
    </row>
    <row r="16" spans="1:4" x14ac:dyDescent="0.25">
      <c r="A16" s="1">
        <v>10485233</v>
      </c>
      <c r="B16" s="1"/>
      <c r="C16" s="1" t="s">
        <v>74</v>
      </c>
      <c r="D16" s="1" t="s">
        <v>75</v>
      </c>
    </row>
    <row r="17" spans="1:4" x14ac:dyDescent="0.25">
      <c r="A17" s="1">
        <v>10489788</v>
      </c>
      <c r="B17" s="1"/>
      <c r="C17" s="1" t="s">
        <v>76</v>
      </c>
      <c r="D17" s="1" t="s">
        <v>77</v>
      </c>
    </row>
    <row r="18" spans="1:4" x14ac:dyDescent="0.25">
      <c r="A18" s="1">
        <v>10492015</v>
      </c>
      <c r="B18" s="1"/>
      <c r="C18" s="1" t="s">
        <v>78</v>
      </c>
      <c r="D18" s="1" t="s">
        <v>79</v>
      </c>
    </row>
    <row r="19" spans="1:4" x14ac:dyDescent="0.25">
      <c r="A19" s="1">
        <v>10494166</v>
      </c>
      <c r="B19" s="1"/>
      <c r="C19" s="1" t="s">
        <v>80</v>
      </c>
      <c r="D19" s="1" t="s">
        <v>81</v>
      </c>
    </row>
    <row r="20" spans="1:4" x14ac:dyDescent="0.25">
      <c r="A20" s="1">
        <v>10495664</v>
      </c>
      <c r="B20" s="1"/>
      <c r="C20" s="1" t="s">
        <v>82</v>
      </c>
      <c r="D20" s="1" t="s">
        <v>82</v>
      </c>
    </row>
    <row r="21" spans="1:4" x14ac:dyDescent="0.25">
      <c r="A21" s="1">
        <v>10500585</v>
      </c>
      <c r="B21" s="1"/>
      <c r="C21" s="1" t="s">
        <v>83</v>
      </c>
      <c r="D21" s="1" t="s">
        <v>84</v>
      </c>
    </row>
    <row r="22" spans="1:4" x14ac:dyDescent="0.25">
      <c r="A22" s="1">
        <v>10503358</v>
      </c>
      <c r="B22" s="1"/>
      <c r="C22" s="1" t="s">
        <v>85</v>
      </c>
      <c r="D22" s="1" t="s">
        <v>86</v>
      </c>
    </row>
    <row r="23" spans="1:4" x14ac:dyDescent="0.25">
      <c r="A23" s="1">
        <v>10505826</v>
      </c>
      <c r="B23" s="1"/>
      <c r="C23" s="1" t="s">
        <v>87</v>
      </c>
      <c r="D23" s="1" t="s">
        <v>88</v>
      </c>
    </row>
    <row r="24" spans="1:4" x14ac:dyDescent="0.25">
      <c r="A24" s="1">
        <v>10506774</v>
      </c>
      <c r="B24" s="1"/>
      <c r="C24" s="1" t="s">
        <v>89</v>
      </c>
      <c r="D24" s="1" t="s">
        <v>90</v>
      </c>
    </row>
    <row r="25" spans="1:4" x14ac:dyDescent="0.25">
      <c r="A25" s="1">
        <v>10506802</v>
      </c>
      <c r="B25" s="1"/>
      <c r="C25" s="1" t="s">
        <v>91</v>
      </c>
      <c r="D25" s="1" t="s">
        <v>91</v>
      </c>
    </row>
    <row r="26" spans="1:4" x14ac:dyDescent="0.25">
      <c r="A26" s="1">
        <v>10506826</v>
      </c>
      <c r="B26" s="1"/>
      <c r="C26" s="1" t="s">
        <v>92</v>
      </c>
      <c r="D26" s="1" t="s">
        <v>92</v>
      </c>
    </row>
    <row r="27" spans="1:4" x14ac:dyDescent="0.25">
      <c r="A27" s="1">
        <v>10506992</v>
      </c>
      <c r="B27" s="1"/>
      <c r="C27" s="1" t="s">
        <v>93</v>
      </c>
      <c r="D27" s="1" t="s">
        <v>93</v>
      </c>
    </row>
    <row r="28" spans="1:4" x14ac:dyDescent="0.25">
      <c r="A28" s="1">
        <v>10514406</v>
      </c>
      <c r="B28" s="1"/>
      <c r="C28" s="1" t="s">
        <v>94</v>
      </c>
      <c r="D28" s="1" t="s">
        <v>94</v>
      </c>
    </row>
    <row r="29" spans="1:4" x14ac:dyDescent="0.25">
      <c r="A29" s="1">
        <v>10531557</v>
      </c>
      <c r="B29" s="1"/>
      <c r="C29" s="1" t="s">
        <v>95</v>
      </c>
      <c r="D29" s="1" t="s">
        <v>96</v>
      </c>
    </row>
    <row r="30" spans="1:4" x14ac:dyDescent="0.25">
      <c r="A30" s="1">
        <v>10549363</v>
      </c>
      <c r="B30" s="1"/>
      <c r="C30" s="1" t="s">
        <v>97</v>
      </c>
      <c r="D30" s="1" t="s">
        <v>97</v>
      </c>
    </row>
    <row r="31" spans="1:4" x14ac:dyDescent="0.25">
      <c r="A31" s="1">
        <v>10557499</v>
      </c>
      <c r="B31" s="1"/>
      <c r="C31" s="1" t="s">
        <v>98</v>
      </c>
      <c r="D31" s="1" t="s">
        <v>99</v>
      </c>
    </row>
    <row r="32" spans="1:4" x14ac:dyDescent="0.25">
      <c r="A32" s="1">
        <v>10574415</v>
      </c>
      <c r="B32" s="1"/>
      <c r="C32" s="1" t="s">
        <v>100</v>
      </c>
      <c r="D32" s="1" t="s">
        <v>101</v>
      </c>
    </row>
    <row r="33" spans="1:4" x14ac:dyDescent="0.25">
      <c r="A33" s="1">
        <v>10781458</v>
      </c>
      <c r="B33" s="1"/>
      <c r="C33" s="1" t="s">
        <v>102</v>
      </c>
      <c r="D33" s="1" t="s">
        <v>102</v>
      </c>
    </row>
    <row r="34" spans="1:4" x14ac:dyDescent="0.25">
      <c r="A34" s="1">
        <v>10784935</v>
      </c>
      <c r="B34" s="1"/>
      <c r="C34" s="1" t="s">
        <v>103</v>
      </c>
      <c r="D34" s="1" t="s">
        <v>103</v>
      </c>
    </row>
    <row r="35" spans="1:4" x14ac:dyDescent="0.25">
      <c r="A35" s="1">
        <v>10785088</v>
      </c>
      <c r="B35" s="1"/>
      <c r="C35" s="1" t="s">
        <v>104</v>
      </c>
      <c r="D35" s="1" t="s">
        <v>104</v>
      </c>
    </row>
    <row r="36" spans="1:4" x14ac:dyDescent="0.25">
      <c r="A36" s="1">
        <v>10785026</v>
      </c>
      <c r="B36" s="1"/>
      <c r="C36" s="1" t="s">
        <v>105</v>
      </c>
      <c r="D36" s="1" t="s">
        <v>106</v>
      </c>
    </row>
    <row r="37" spans="1:4" x14ac:dyDescent="0.25">
      <c r="A37" s="1">
        <v>10785027</v>
      </c>
      <c r="B37" s="1"/>
      <c r="C37" s="1" t="s">
        <v>107</v>
      </c>
      <c r="D37" s="1" t="s">
        <v>108</v>
      </c>
    </row>
    <row r="38" spans="1:4" x14ac:dyDescent="0.25">
      <c r="A38" s="1">
        <v>10785028</v>
      </c>
      <c r="B38" s="1"/>
      <c r="C38" s="1" t="s">
        <v>109</v>
      </c>
      <c r="D38" s="1" t="s">
        <v>110</v>
      </c>
    </row>
    <row r="39" spans="1:4" x14ac:dyDescent="0.25">
      <c r="A39" s="1">
        <v>10785029</v>
      </c>
      <c r="B39" s="1"/>
      <c r="C39" s="1" t="s">
        <v>111</v>
      </c>
      <c r="D39" s="1" t="s">
        <v>112</v>
      </c>
    </row>
    <row r="40" spans="1:4" x14ac:dyDescent="0.25">
      <c r="A40" s="1">
        <v>10785030</v>
      </c>
      <c r="B40" s="1"/>
      <c r="C40" s="1" t="s">
        <v>113</v>
      </c>
      <c r="D40" s="1" t="s">
        <v>114</v>
      </c>
    </row>
    <row r="41" spans="1:4" x14ac:dyDescent="0.25">
      <c r="A41" s="1">
        <v>10785031</v>
      </c>
      <c r="B41" s="1"/>
      <c r="C41" s="1" t="s">
        <v>115</v>
      </c>
      <c r="D41" s="1" t="s">
        <v>116</v>
      </c>
    </row>
    <row r="42" spans="1:4" x14ac:dyDescent="0.25">
      <c r="A42" s="1">
        <v>10785032</v>
      </c>
      <c r="B42" s="1"/>
      <c r="C42" s="1" t="s">
        <v>117</v>
      </c>
      <c r="D42" s="1" t="s">
        <v>118</v>
      </c>
    </row>
    <row r="43" spans="1:4" x14ac:dyDescent="0.25">
      <c r="A43" s="1">
        <v>10785033</v>
      </c>
      <c r="B43" s="1"/>
      <c r="C43" s="1" t="s">
        <v>119</v>
      </c>
      <c r="D43" s="1" t="s">
        <v>120</v>
      </c>
    </row>
    <row r="44" spans="1:4" x14ac:dyDescent="0.25">
      <c r="A44" s="1">
        <v>10785034</v>
      </c>
      <c r="B44" s="1"/>
      <c r="C44" s="1" t="s">
        <v>121</v>
      </c>
      <c r="D44" s="1" t="s">
        <v>121</v>
      </c>
    </row>
    <row r="45" spans="1:4" x14ac:dyDescent="0.25">
      <c r="A45" s="1">
        <v>10785035</v>
      </c>
      <c r="B45" s="1"/>
      <c r="C45" s="1" t="s">
        <v>122</v>
      </c>
      <c r="D45" s="1" t="s">
        <v>123</v>
      </c>
    </row>
    <row r="46" spans="1:4" x14ac:dyDescent="0.25">
      <c r="A46" s="1">
        <v>10785036</v>
      </c>
      <c r="B46" s="1"/>
      <c r="C46" s="1" t="s">
        <v>124</v>
      </c>
      <c r="D46" s="1" t="s">
        <v>125</v>
      </c>
    </row>
    <row r="47" spans="1:4" x14ac:dyDescent="0.25">
      <c r="A47" s="1">
        <v>10785037</v>
      </c>
      <c r="B47" s="1"/>
      <c r="C47" s="1" t="s">
        <v>126</v>
      </c>
      <c r="D47" s="1" t="s">
        <v>127</v>
      </c>
    </row>
    <row r="48" spans="1:4" x14ac:dyDescent="0.25">
      <c r="A48" s="1">
        <v>10785038</v>
      </c>
      <c r="B48" s="1"/>
      <c r="C48" s="1" t="s">
        <v>128</v>
      </c>
      <c r="D48" s="1" t="s">
        <v>129</v>
      </c>
    </row>
    <row r="49" spans="1:4" x14ac:dyDescent="0.25">
      <c r="A49" s="1">
        <v>10785043</v>
      </c>
      <c r="B49" s="1"/>
      <c r="C49" s="1" t="s">
        <v>130</v>
      </c>
      <c r="D49" s="1" t="s">
        <v>131</v>
      </c>
    </row>
    <row r="50" spans="1:4" x14ac:dyDescent="0.25">
      <c r="A50" s="1">
        <v>10785044</v>
      </c>
      <c r="B50" s="1"/>
      <c r="C50" s="1" t="s">
        <v>132</v>
      </c>
      <c r="D50" s="1" t="s">
        <v>133</v>
      </c>
    </row>
    <row r="51" spans="1:4" x14ac:dyDescent="0.25">
      <c r="A51" s="1">
        <v>10785045</v>
      </c>
      <c r="B51" s="1"/>
      <c r="C51" s="1" t="s">
        <v>134</v>
      </c>
      <c r="D51" s="1" t="s">
        <v>135</v>
      </c>
    </row>
    <row r="52" spans="1:4" x14ac:dyDescent="0.25">
      <c r="A52" s="1">
        <v>10785046</v>
      </c>
      <c r="B52" s="1"/>
      <c r="C52" s="1" t="s">
        <v>136</v>
      </c>
      <c r="D52" s="1" t="s">
        <v>137</v>
      </c>
    </row>
    <row r="53" spans="1:4" x14ac:dyDescent="0.25">
      <c r="A53" s="1">
        <v>10785047</v>
      </c>
      <c r="B53" s="1"/>
      <c r="C53" s="1" t="s">
        <v>138</v>
      </c>
      <c r="D53" s="1" t="s">
        <v>139</v>
      </c>
    </row>
    <row r="54" spans="1:4" x14ac:dyDescent="0.25">
      <c r="A54" s="1">
        <v>10785048</v>
      </c>
      <c r="B54" s="1"/>
      <c r="C54" s="1" t="s">
        <v>140</v>
      </c>
      <c r="D54" s="1" t="s">
        <v>141</v>
      </c>
    </row>
    <row r="55" spans="1:4" x14ac:dyDescent="0.25">
      <c r="A55" s="1">
        <v>10785049</v>
      </c>
      <c r="B55" s="1"/>
      <c r="C55" s="1" t="s">
        <v>142</v>
      </c>
      <c r="D55" s="1" t="s">
        <v>92</v>
      </c>
    </row>
    <row r="56" spans="1:4" x14ac:dyDescent="0.25">
      <c r="A56" s="1">
        <v>10785050</v>
      </c>
      <c r="B56" s="1"/>
      <c r="C56" s="1" t="s">
        <v>143</v>
      </c>
      <c r="D56" s="1" t="s">
        <v>144</v>
      </c>
    </row>
    <row r="57" spans="1:4" x14ac:dyDescent="0.25">
      <c r="A57" s="1">
        <v>10785051</v>
      </c>
      <c r="B57" s="1"/>
      <c r="C57" s="1" t="s">
        <v>145</v>
      </c>
      <c r="D57" s="1" t="s">
        <v>146</v>
      </c>
    </row>
    <row r="58" spans="1:4" x14ac:dyDescent="0.25">
      <c r="A58" s="1">
        <v>10785052</v>
      </c>
      <c r="B58" s="1"/>
      <c r="C58" s="1" t="s">
        <v>147</v>
      </c>
      <c r="D58" s="1" t="s">
        <v>148</v>
      </c>
    </row>
    <row r="59" spans="1:4" x14ac:dyDescent="0.25">
      <c r="A59" s="1">
        <v>10785267</v>
      </c>
      <c r="B59" s="1"/>
      <c r="C59" s="1" t="s">
        <v>149</v>
      </c>
      <c r="D59" s="1" t="s">
        <v>150</v>
      </c>
    </row>
    <row r="60" spans="1:4" x14ac:dyDescent="0.25">
      <c r="A60" s="1">
        <v>10785268</v>
      </c>
      <c r="B60" s="1"/>
      <c r="C60" s="1" t="s">
        <v>151</v>
      </c>
      <c r="D60" s="1" t="s">
        <v>152</v>
      </c>
    </row>
    <row r="61" spans="1:4" x14ac:dyDescent="0.25">
      <c r="A61" s="1">
        <v>10785269</v>
      </c>
      <c r="B61" s="1"/>
      <c r="C61" s="1" t="s">
        <v>153</v>
      </c>
      <c r="D61" s="1" t="s">
        <v>154</v>
      </c>
    </row>
    <row r="62" spans="1:4" x14ac:dyDescent="0.25">
      <c r="A62" s="1">
        <v>10785270</v>
      </c>
      <c r="B62" s="1"/>
      <c r="C62" s="1" t="s">
        <v>155</v>
      </c>
      <c r="D62" s="1" t="s">
        <v>156</v>
      </c>
    </row>
    <row r="63" spans="1:4" x14ac:dyDescent="0.25">
      <c r="A63" s="1">
        <v>10785271</v>
      </c>
      <c r="B63" s="1"/>
      <c r="C63" s="1" t="s">
        <v>157</v>
      </c>
      <c r="D63" s="1" t="s">
        <v>158</v>
      </c>
    </row>
    <row r="64" spans="1:4" x14ac:dyDescent="0.25">
      <c r="A64" s="1">
        <v>10785272</v>
      </c>
      <c r="B64" s="1"/>
      <c r="C64" s="1" t="s">
        <v>159</v>
      </c>
      <c r="D64" s="1" t="s">
        <v>160</v>
      </c>
    </row>
    <row r="65" spans="1:4" x14ac:dyDescent="0.25">
      <c r="A65" s="1">
        <v>10785273</v>
      </c>
      <c r="B65" s="1"/>
      <c r="C65" s="1" t="s">
        <v>161</v>
      </c>
      <c r="D65" s="1" t="s">
        <v>162</v>
      </c>
    </row>
    <row r="66" spans="1:4" x14ac:dyDescent="0.25">
      <c r="A66" s="1">
        <v>10785274</v>
      </c>
      <c r="B66" s="1"/>
      <c r="C66" s="1" t="s">
        <v>163</v>
      </c>
      <c r="D66" s="1" t="s">
        <v>164</v>
      </c>
    </row>
    <row r="67" spans="1:4" x14ac:dyDescent="0.25">
      <c r="A67" s="1">
        <v>10785275</v>
      </c>
      <c r="B67" s="1"/>
      <c r="C67" s="1" t="s">
        <v>165</v>
      </c>
      <c r="D67" s="1" t="s">
        <v>166</v>
      </c>
    </row>
    <row r="68" spans="1:4" x14ac:dyDescent="0.25">
      <c r="A68" s="1">
        <v>10785276</v>
      </c>
      <c r="B68" s="1"/>
      <c r="C68" s="1" t="s">
        <v>167</v>
      </c>
      <c r="D68" s="1" t="s">
        <v>168</v>
      </c>
    </row>
    <row r="69" spans="1:4" x14ac:dyDescent="0.25">
      <c r="A69" s="1">
        <v>18430734</v>
      </c>
      <c r="B69" s="1"/>
      <c r="C69" s="1" t="s">
        <v>130</v>
      </c>
      <c r="D69" s="1" t="s">
        <v>169</v>
      </c>
    </row>
    <row r="70" spans="1:4" x14ac:dyDescent="0.25">
      <c r="A70" s="1">
        <v>10344924</v>
      </c>
      <c r="B70" s="1"/>
      <c r="C70" s="1" t="s">
        <v>170</v>
      </c>
      <c r="D70" s="1" t="s">
        <v>171</v>
      </c>
    </row>
    <row r="71" spans="1:4" x14ac:dyDescent="0.25">
      <c r="A71" s="1">
        <v>10345787</v>
      </c>
      <c r="B71" s="1"/>
      <c r="C71" s="1" t="s">
        <v>172</v>
      </c>
      <c r="D71" s="1" t="s">
        <v>173</v>
      </c>
    </row>
    <row r="72" spans="1:4" x14ac:dyDescent="0.25">
      <c r="A72" s="1">
        <v>10345800</v>
      </c>
      <c r="B72" s="1"/>
      <c r="C72" s="1" t="s">
        <v>174</v>
      </c>
      <c r="D72" s="1" t="s">
        <v>175</v>
      </c>
    </row>
    <row r="73" spans="1:4" x14ac:dyDescent="0.25">
      <c r="A73" s="1">
        <v>10345833</v>
      </c>
      <c r="B73" s="1"/>
      <c r="C73" s="1" t="s">
        <v>176</v>
      </c>
      <c r="D73" s="1" t="s">
        <v>177</v>
      </c>
    </row>
    <row r="74" spans="1:4" x14ac:dyDescent="0.25">
      <c r="A74" s="1">
        <v>10345837</v>
      </c>
      <c r="B74" s="1"/>
      <c r="C74" s="1" t="s">
        <v>178</v>
      </c>
      <c r="D74" s="1" t="s">
        <v>179</v>
      </c>
    </row>
    <row r="75" spans="1:4" x14ac:dyDescent="0.25">
      <c r="A75" s="1">
        <v>10790375</v>
      </c>
      <c r="B75" s="1"/>
      <c r="C75" s="1" t="s">
        <v>180</v>
      </c>
      <c r="D75" s="1" t="s">
        <v>181</v>
      </c>
    </row>
    <row r="76" spans="1:4" x14ac:dyDescent="0.25">
      <c r="A76" s="1">
        <v>86595022</v>
      </c>
      <c r="B76" s="1"/>
      <c r="C76" s="1" t="s">
        <v>182</v>
      </c>
      <c r="D76" s="1" t="s">
        <v>183</v>
      </c>
    </row>
    <row r="77" spans="1:4" x14ac:dyDescent="0.25">
      <c r="A77" s="1">
        <v>86598546</v>
      </c>
      <c r="B77" s="1"/>
      <c r="C77" s="1" t="s">
        <v>184</v>
      </c>
      <c r="D77" s="1" t="s">
        <v>185</v>
      </c>
    </row>
    <row r="78" spans="1:4" x14ac:dyDescent="0.25">
      <c r="A78" s="1">
        <v>10790378</v>
      </c>
      <c r="B78" s="1"/>
      <c r="C78" s="1" t="s">
        <v>186</v>
      </c>
      <c r="D78" s="1" t="s">
        <v>187</v>
      </c>
    </row>
    <row r="79" spans="1:4" x14ac:dyDescent="0.25">
      <c r="A79" s="1">
        <v>332778789</v>
      </c>
      <c r="B79" s="1"/>
      <c r="C79" s="1" t="s">
        <v>188</v>
      </c>
      <c r="D79" s="1" t="s">
        <v>189</v>
      </c>
    </row>
    <row r="80" spans="1:4" x14ac:dyDescent="0.25">
      <c r="A80" s="1">
        <v>86682387</v>
      </c>
      <c r="B80" s="1"/>
      <c r="C80" s="1" t="s">
        <v>190</v>
      </c>
      <c r="D80" s="1" t="s">
        <v>191</v>
      </c>
    </row>
    <row r="81" spans="1:4" x14ac:dyDescent="0.25">
      <c r="A81" s="1">
        <v>86682640</v>
      </c>
      <c r="B81" s="1"/>
      <c r="C81" s="1" t="s">
        <v>192</v>
      </c>
      <c r="D81" s="1" t="s">
        <v>193</v>
      </c>
    </row>
    <row r="82" spans="1:4" x14ac:dyDescent="0.25">
      <c r="A82" s="1">
        <v>86683498</v>
      </c>
      <c r="B82" s="1"/>
      <c r="C82" s="1" t="s">
        <v>194</v>
      </c>
      <c r="D82" s="1" t="s">
        <v>195</v>
      </c>
    </row>
    <row r="83" spans="1:4" x14ac:dyDescent="0.25">
      <c r="A83" s="1">
        <v>86683502</v>
      </c>
      <c r="B83" s="1"/>
      <c r="C83" s="1" t="s">
        <v>196</v>
      </c>
      <c r="D83" s="1" t="s">
        <v>197</v>
      </c>
    </row>
    <row r="84" spans="1:4" x14ac:dyDescent="0.25">
      <c r="A84" s="1">
        <v>86683781</v>
      </c>
      <c r="B84" s="1"/>
      <c r="C84" s="1"/>
      <c r="D84" s="1" t="s">
        <v>198</v>
      </c>
    </row>
    <row r="85" spans="1:4" x14ac:dyDescent="0.25">
      <c r="A85" s="1">
        <v>10790395</v>
      </c>
      <c r="B85" s="1"/>
      <c r="C85" s="1" t="s">
        <v>199</v>
      </c>
      <c r="D85" s="1" t="s">
        <v>200</v>
      </c>
    </row>
    <row r="86" spans="1:4" x14ac:dyDescent="0.25">
      <c r="A86" s="1">
        <v>10790396</v>
      </c>
      <c r="B86" s="1"/>
      <c r="C86" s="1" t="s">
        <v>201</v>
      </c>
      <c r="D86" s="1" t="s">
        <v>202</v>
      </c>
    </row>
    <row r="87" spans="1:4" x14ac:dyDescent="0.25">
      <c r="A87" s="1">
        <v>86684028</v>
      </c>
      <c r="B87" s="1"/>
      <c r="C87" s="1" t="s">
        <v>203</v>
      </c>
      <c r="D87" s="1" t="s">
        <v>204</v>
      </c>
    </row>
    <row r="88" spans="1:4" x14ac:dyDescent="0.25">
      <c r="A88" s="1">
        <v>86685621</v>
      </c>
      <c r="B88" s="1"/>
      <c r="C88" s="1" t="s">
        <v>205</v>
      </c>
      <c r="D88" s="1" t="s">
        <v>206</v>
      </c>
    </row>
    <row r="89" spans="1:4" x14ac:dyDescent="0.25">
      <c r="A89" s="1">
        <v>10790475</v>
      </c>
      <c r="B89" s="1"/>
      <c r="C89" s="1" t="s">
        <v>207</v>
      </c>
      <c r="D89" s="1" t="s">
        <v>208</v>
      </c>
    </row>
    <row r="90" spans="1:4" x14ac:dyDescent="0.25">
      <c r="A90" s="1">
        <v>10790481</v>
      </c>
      <c r="B90" s="1"/>
      <c r="C90" s="1" t="s">
        <v>209</v>
      </c>
      <c r="D90" s="1" t="s">
        <v>210</v>
      </c>
    </row>
    <row r="91" spans="1:4" x14ac:dyDescent="0.25">
      <c r="A91" s="1">
        <v>10790493</v>
      </c>
      <c r="B91" s="1"/>
      <c r="C91" s="1" t="s">
        <v>211</v>
      </c>
      <c r="D91" s="1" t="s">
        <v>82</v>
      </c>
    </row>
    <row r="92" spans="1:4" x14ac:dyDescent="0.25">
      <c r="A92" s="1">
        <v>24580709</v>
      </c>
      <c r="B92" s="1"/>
      <c r="C92" s="1" t="s">
        <v>212</v>
      </c>
      <c r="D92" s="1" t="s">
        <v>213</v>
      </c>
    </row>
    <row r="93" spans="1:4" x14ac:dyDescent="0.25">
      <c r="A93" s="1">
        <v>10790601</v>
      </c>
      <c r="B93" s="1"/>
      <c r="C93" s="1" t="s">
        <v>214</v>
      </c>
      <c r="D93" s="1" t="s">
        <v>215</v>
      </c>
    </row>
    <row r="94" spans="1:4" x14ac:dyDescent="0.25">
      <c r="A94" s="1">
        <v>11090924</v>
      </c>
      <c r="B94" s="1"/>
      <c r="C94" s="1" t="s">
        <v>216</v>
      </c>
      <c r="D94" s="1" t="s">
        <v>216</v>
      </c>
    </row>
    <row r="95" spans="1:4" x14ac:dyDescent="0.25">
      <c r="A95" s="1">
        <v>24557572</v>
      </c>
      <c r="B95" s="1"/>
      <c r="C95" s="1" t="s">
        <v>217</v>
      </c>
      <c r="D95" s="1" t="s">
        <v>218</v>
      </c>
    </row>
    <row r="96" spans="1:4" x14ac:dyDescent="0.25">
      <c r="A96" s="1">
        <v>24557574</v>
      </c>
      <c r="B96" s="1"/>
      <c r="C96" s="1" t="s">
        <v>219</v>
      </c>
      <c r="D96" s="1" t="s">
        <v>91</v>
      </c>
    </row>
    <row r="97" spans="1:4" x14ac:dyDescent="0.25">
      <c r="A97" s="1">
        <v>24557575</v>
      </c>
      <c r="B97" s="1"/>
      <c r="C97" s="1" t="s">
        <v>220</v>
      </c>
      <c r="D97" s="1" t="s">
        <v>221</v>
      </c>
    </row>
    <row r="98" spans="1:4" x14ac:dyDescent="0.25">
      <c r="A98" s="1">
        <v>24557576</v>
      </c>
      <c r="B98" s="1"/>
      <c r="C98" s="1" t="s">
        <v>222</v>
      </c>
      <c r="D98" s="1" t="s">
        <v>222</v>
      </c>
    </row>
    <row r="99" spans="1:4" x14ac:dyDescent="0.25">
      <c r="A99" s="1">
        <v>24557577</v>
      </c>
      <c r="B99" s="1"/>
      <c r="C99" s="1" t="s">
        <v>223</v>
      </c>
      <c r="D99" s="1" t="s">
        <v>223</v>
      </c>
    </row>
    <row r="100" spans="1:4" x14ac:dyDescent="0.25">
      <c r="A100" s="1">
        <v>24557578</v>
      </c>
      <c r="B100" s="1"/>
      <c r="C100" s="1" t="s">
        <v>224</v>
      </c>
      <c r="D100" s="1" t="s">
        <v>224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C00000"/>
  </sheetPr>
  <dimension ref="A2:B4"/>
  <sheetViews>
    <sheetView workbookViewId="0">
      <selection activeCell="A2" sqref="A2"/>
    </sheetView>
  </sheetViews>
  <sheetFormatPr defaultRowHeight="15" x14ac:dyDescent="0.25"/>
  <cols>
    <col min="1" max="1" width="11.85546875" customWidth="1"/>
  </cols>
  <sheetData>
    <row r="2" spans="1:2" x14ac:dyDescent="0.25">
      <c r="A2" t="s">
        <v>20</v>
      </c>
      <c r="B2" t="s">
        <v>225</v>
      </c>
    </row>
    <row r="3" spans="1:2" x14ac:dyDescent="0.25">
      <c r="A3" t="s">
        <v>226</v>
      </c>
      <c r="B3" t="s">
        <v>227</v>
      </c>
    </row>
    <row r="4" spans="1:2" x14ac:dyDescent="0.25">
      <c r="A4" t="s">
        <v>33</v>
      </c>
      <c r="B4" t="s">
        <v>228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tabColor rgb="FF7030A0"/>
  </sheetPr>
  <dimension ref="A1:B5"/>
  <sheetViews>
    <sheetView workbookViewId="0">
      <selection activeCell="B5" sqref="B5"/>
    </sheetView>
  </sheetViews>
  <sheetFormatPr defaultRowHeight="15" x14ac:dyDescent="0.25"/>
  <cols>
    <col min="1" max="1" width="11.28515625" style="8" customWidth="1"/>
    <col min="2" max="2" width="73.28515625" style="8" customWidth="1"/>
    <col min="3" max="3" width="5.5703125" style="8" customWidth="1"/>
    <col min="4" max="16384" width="9.140625" style="8"/>
  </cols>
  <sheetData>
    <row r="1" spans="1:2" ht="18.75" x14ac:dyDescent="0.3">
      <c r="A1" s="7" t="s">
        <v>7</v>
      </c>
    </row>
    <row r="2" spans="1:2" x14ac:dyDescent="0.25">
      <c r="A2" s="8" t="s">
        <v>29</v>
      </c>
    </row>
    <row r="4" spans="1:2" ht="15.75" x14ac:dyDescent="0.25">
      <c r="A4" s="9" t="s">
        <v>6</v>
      </c>
      <c r="B4" s="3" t="s">
        <v>229</v>
      </c>
    </row>
    <row r="5" spans="1:2" ht="15.75" x14ac:dyDescent="0.25">
      <c r="A5" s="9" t="s">
        <v>4</v>
      </c>
      <c r="B5" s="3" t="s">
        <v>30</v>
      </c>
    </row>
  </sheetData>
  <sheetProtection algorithmName="SHA-512" hashValue="lP/Z9rp5vamHUqvaVzRVZ4ozvC3NH0Cocavc4NqyKISpqnSlcHebv+TnMwKqrKck25x0ahfo9AJFAZbCdx3dcQ==" saltValue="oeP7YKrV4XxGZX5CSBF4uQ==" spinCount="100000" sheet="1" objects="1" scenarios="1"/>
  <dataConsolidate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2" r:id="rId4" name="btnQueryInfoLoad">
              <controlPr defaultSize="0" print="0" autoFill="0" autoPict="0" macro="[0]!QueryInfoLoad">
                <anchor moveWithCells="1" sizeWithCells="1">
                  <from>
                    <xdr:col>2</xdr:col>
                    <xdr:colOff>323850</xdr:colOff>
                    <xdr:row>2</xdr:row>
                    <xdr:rowOff>133350</xdr:rowOff>
                  </from>
                  <to>
                    <xdr:col>5</xdr:col>
                    <xdr:colOff>19050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tabColor theme="9"/>
  </sheetPr>
  <dimension ref="A1:N7"/>
  <sheetViews>
    <sheetView tabSelected="1" zoomScaleNormal="100" workbookViewId="0">
      <selection activeCell="E15" sqref="E15"/>
    </sheetView>
  </sheetViews>
  <sheetFormatPr defaultRowHeight="15" x14ac:dyDescent="0.25"/>
  <cols>
    <col min="1" max="1" width="25.5703125" customWidth="1"/>
    <col min="2" max="2" width="41.140625" customWidth="1"/>
    <col min="3" max="3" width="6.42578125" customWidth="1"/>
    <col min="4" max="6" width="12" customWidth="1"/>
    <col min="7" max="8" width="12.7109375" customWidth="1"/>
    <col min="9" max="9" width="12.28515625" customWidth="1"/>
    <col min="10" max="14" width="12.7109375" customWidth="1"/>
    <col min="15" max="15" width="12" customWidth="1"/>
  </cols>
  <sheetData>
    <row r="1" spans="1:14" ht="18.75" x14ac:dyDescent="0.3">
      <c r="A1" s="2" t="s">
        <v>4</v>
      </c>
      <c r="B1" s="2" t="s">
        <v>31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ht="18.75" x14ac:dyDescent="0.3">
      <c r="A2" t="s">
        <v>8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ht="18.75" x14ac:dyDescent="0.3">
      <c r="A3" s="2" t="s">
        <v>5</v>
      </c>
    </row>
    <row r="4" spans="1:14" x14ac:dyDescent="0.25">
      <c r="A4" s="1" t="s">
        <v>0</v>
      </c>
      <c r="B4" s="1" t="s">
        <v>3</v>
      </c>
      <c r="C4" s="1"/>
    </row>
    <row r="5" spans="1:14" x14ac:dyDescent="0.25">
      <c r="A5" s="10" t="s">
        <v>40</v>
      </c>
      <c r="B5" s="11">
        <v>1</v>
      </c>
      <c r="C5" s="1"/>
    </row>
    <row r="6" spans="1:14" x14ac:dyDescent="0.25">
      <c r="A6" s="10" t="s">
        <v>41</v>
      </c>
      <c r="B6" s="11">
        <v>15</v>
      </c>
    </row>
    <row r="7" spans="1:14" x14ac:dyDescent="0.25">
      <c r="A7" s="10" t="s">
        <v>42</v>
      </c>
      <c r="B7" s="11">
        <v>1</v>
      </c>
    </row>
  </sheetData>
  <dataConsolidate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tnQueryRun">
              <controlPr defaultSize="0" print="0" autoFill="0" autoPict="0" macro="[0]!QueryDataLoad">
                <anchor moveWithCells="1" sizeWithCells="1">
                  <from>
                    <xdr:col>3</xdr:col>
                    <xdr:colOff>219075</xdr:colOff>
                    <xdr:row>2</xdr:row>
                    <xdr:rowOff>228600</xdr:rowOff>
                  </from>
                  <to>
                    <xdr:col>5</xdr:col>
                    <xdr:colOff>47625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Drop Down 3">
              <controlPr defaultSize="0" autoLine="0" autoPict="0">
                <anchor mov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2733675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Drop Down 4">
              <controlPr defaultSize="0" autoLine="0" autoPict="0">
                <anchor mov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2733675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Drop Down 5">
              <controlPr defaultSize="0" autoLine="0" autoPict="0">
                <anchor mov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2733675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4"/>
  </sheetPr>
  <dimension ref="A1:G5"/>
  <sheetViews>
    <sheetView workbookViewId="0">
      <selection activeCell="E12" sqref="E12"/>
    </sheetView>
  </sheetViews>
  <sheetFormatPr defaultRowHeight="15" x14ac:dyDescent="0.25"/>
  <cols>
    <col min="1" max="1" width="6.140625" customWidth="1"/>
    <col min="2" max="2" width="8.140625" customWidth="1"/>
    <col min="3" max="3" width="15" customWidth="1"/>
    <col min="4" max="4" width="44.5703125" customWidth="1"/>
    <col min="5" max="5" width="51.7109375" customWidth="1"/>
    <col min="6" max="6" width="15" customWidth="1"/>
    <col min="7" max="7" width="11" customWidth="1"/>
    <col min="8" max="8" width="17.42578125" customWidth="1"/>
    <col min="9" max="9" width="18.42578125" customWidth="1"/>
    <col min="10" max="10" width="10" customWidth="1"/>
    <col min="11" max="11" width="14.42578125" customWidth="1"/>
    <col min="12" max="12" width="13.85546875" customWidth="1"/>
    <col min="13" max="13" width="14.140625" customWidth="1"/>
    <col min="14" max="14" width="14.42578125" customWidth="1"/>
    <col min="15" max="15" width="17.28515625" customWidth="1"/>
    <col min="16" max="16" width="15.42578125" customWidth="1"/>
    <col min="17" max="17" width="14.85546875" customWidth="1"/>
    <col min="18" max="18" width="23.140625" customWidth="1"/>
    <col min="19" max="19" width="41" bestFit="1" customWidth="1"/>
    <col min="20" max="20" width="47.140625" bestFit="1" customWidth="1"/>
    <col min="21" max="24" width="50" bestFit="1" customWidth="1"/>
    <col min="25" max="25" width="49.140625" bestFit="1" customWidth="1"/>
    <col min="26" max="26" width="200.42578125" bestFit="1" customWidth="1"/>
    <col min="27" max="27" width="199.140625" bestFit="1" customWidth="1"/>
    <col min="28" max="28" width="41" bestFit="1" customWidth="1"/>
    <col min="29" max="29" width="22.42578125" bestFit="1" customWidth="1"/>
    <col min="30" max="30" width="41.140625" bestFit="1" customWidth="1"/>
    <col min="31" max="31" width="42.140625" bestFit="1" customWidth="1"/>
    <col min="32" max="32" width="29.7109375" bestFit="1" customWidth="1"/>
    <col min="33" max="33" width="27.5703125" bestFit="1" customWidth="1"/>
    <col min="34" max="34" width="31.28515625" bestFit="1" customWidth="1"/>
    <col min="35" max="35" width="39" bestFit="1" customWidth="1"/>
    <col min="36" max="36" width="37" bestFit="1" customWidth="1"/>
    <col min="37" max="37" width="26.140625" bestFit="1" customWidth="1"/>
    <col min="38" max="38" width="47.5703125" bestFit="1" customWidth="1"/>
    <col min="39" max="39" width="49" bestFit="1" customWidth="1"/>
    <col min="40" max="40" width="36.85546875" bestFit="1" customWidth="1"/>
    <col min="41" max="41" width="51" bestFit="1" customWidth="1"/>
    <col min="42" max="42" width="41.7109375" bestFit="1" customWidth="1"/>
    <col min="43" max="43" width="128.140625" bestFit="1" customWidth="1"/>
    <col min="44" max="45" width="45.85546875" bestFit="1" customWidth="1"/>
    <col min="46" max="46" width="27.140625" bestFit="1" customWidth="1"/>
    <col min="47" max="47" width="37.28515625" bestFit="1" customWidth="1"/>
    <col min="48" max="48" width="33.5703125" bestFit="1" customWidth="1"/>
    <col min="49" max="49" width="46.5703125" bestFit="1" customWidth="1"/>
    <col min="50" max="50" width="34.28515625" bestFit="1" customWidth="1"/>
    <col min="51" max="51" width="27.5703125" bestFit="1" customWidth="1"/>
    <col min="52" max="52" width="36.85546875" bestFit="1" customWidth="1"/>
    <col min="53" max="53" width="47.42578125" bestFit="1" customWidth="1"/>
    <col min="54" max="54" width="47.28515625" bestFit="1" customWidth="1"/>
    <col min="55" max="55" width="27.28515625" bestFit="1" customWidth="1"/>
    <col min="56" max="56" width="31" bestFit="1" customWidth="1"/>
    <col min="57" max="57" width="41.7109375" bestFit="1" customWidth="1"/>
    <col min="58" max="58" width="41.5703125" bestFit="1" customWidth="1"/>
    <col min="59" max="59" width="31.5703125" bestFit="1" customWidth="1"/>
    <col min="60" max="60" width="35.28515625" bestFit="1" customWidth="1"/>
    <col min="61" max="61" width="46" bestFit="1" customWidth="1"/>
    <col min="62" max="62" width="45.85546875" bestFit="1" customWidth="1"/>
    <col min="63" max="63" width="22.28515625" bestFit="1" customWidth="1"/>
    <col min="64" max="64" width="26.7109375" bestFit="1" customWidth="1"/>
    <col min="65" max="65" width="31" bestFit="1" customWidth="1"/>
    <col min="66" max="66" width="37" bestFit="1" customWidth="1"/>
    <col min="67" max="67" width="40.42578125" bestFit="1" customWidth="1"/>
    <col min="68" max="68" width="23.7109375" bestFit="1" customWidth="1"/>
    <col min="69" max="69" width="25.85546875" bestFit="1" customWidth="1"/>
    <col min="70" max="70" width="26.5703125" bestFit="1" customWidth="1"/>
    <col min="71" max="71" width="89.28515625" bestFit="1" customWidth="1"/>
    <col min="72" max="72" width="45.85546875" bestFit="1" customWidth="1"/>
    <col min="73" max="73" width="44.7109375" bestFit="1" customWidth="1"/>
    <col min="74" max="74" width="54.85546875" bestFit="1" customWidth="1"/>
    <col min="75" max="75" width="56" bestFit="1" customWidth="1"/>
    <col min="76" max="76" width="100" bestFit="1" customWidth="1"/>
    <col min="77" max="77" width="46.28515625" bestFit="1" customWidth="1"/>
    <col min="78" max="78" width="47.42578125" bestFit="1" customWidth="1"/>
    <col min="79" max="79" width="75.5703125" bestFit="1" customWidth="1"/>
    <col min="80" max="80" width="73.42578125" bestFit="1" customWidth="1"/>
    <col min="81" max="81" width="74.5703125" bestFit="1" customWidth="1"/>
    <col min="82" max="82" width="35.42578125" bestFit="1" customWidth="1"/>
    <col min="83" max="83" width="41.42578125" bestFit="1" customWidth="1"/>
    <col min="84" max="84" width="70.140625" bestFit="1" customWidth="1"/>
    <col min="85" max="85" width="29.85546875" bestFit="1" customWidth="1"/>
    <col min="86" max="86" width="41.85546875" bestFit="1" customWidth="1"/>
    <col min="87" max="87" width="43" bestFit="1" customWidth="1"/>
    <col min="88" max="88" width="26.7109375" bestFit="1" customWidth="1"/>
    <col min="89" max="89" width="34.7109375" bestFit="1" customWidth="1"/>
    <col min="90" max="90" width="46.7109375" bestFit="1" customWidth="1"/>
    <col min="91" max="91" width="47.85546875" bestFit="1" customWidth="1"/>
    <col min="92" max="92" width="20.85546875" bestFit="1" customWidth="1"/>
    <col min="93" max="93" width="26.28515625" bestFit="1" customWidth="1"/>
    <col min="94" max="94" width="42.7109375" bestFit="1" customWidth="1"/>
    <col min="95" max="95" width="55.5703125" bestFit="1" customWidth="1"/>
    <col min="96" max="96" width="41.7109375" bestFit="1" customWidth="1"/>
    <col min="97" max="97" width="67.42578125" bestFit="1" customWidth="1"/>
    <col min="98" max="98" width="43.140625" bestFit="1" customWidth="1"/>
    <col min="99" max="99" width="50.140625" bestFit="1" customWidth="1"/>
    <col min="100" max="100" width="74.85546875" bestFit="1" customWidth="1"/>
    <col min="101" max="101" width="44.42578125" bestFit="1" customWidth="1"/>
    <col min="102" max="102" width="39.7109375" bestFit="1" customWidth="1"/>
    <col min="103" max="103" width="56" bestFit="1" customWidth="1"/>
    <col min="104" max="104" width="43" bestFit="1" customWidth="1"/>
    <col min="105" max="105" width="47.140625" bestFit="1" customWidth="1"/>
    <col min="106" max="106" width="38.85546875" bestFit="1" customWidth="1"/>
    <col min="107" max="107" width="45.85546875" bestFit="1" customWidth="1"/>
    <col min="108" max="108" width="47.28515625" bestFit="1" customWidth="1"/>
    <col min="109" max="109" width="55.140625" bestFit="1" customWidth="1"/>
    <col min="110" max="110" width="46" bestFit="1" customWidth="1"/>
    <col min="111" max="111" width="53.85546875" bestFit="1" customWidth="1"/>
    <col min="112" max="112" width="40.42578125" bestFit="1" customWidth="1"/>
    <col min="113" max="113" width="47.28515625" bestFit="1" customWidth="1"/>
    <col min="114" max="114" width="39" bestFit="1" customWidth="1"/>
    <col min="115" max="115" width="46" bestFit="1" customWidth="1"/>
    <col min="116" max="116" width="47.42578125" bestFit="1" customWidth="1"/>
    <col min="117" max="117" width="55.28515625" bestFit="1" customWidth="1"/>
    <col min="118" max="118" width="46.140625" bestFit="1" customWidth="1"/>
    <col min="119" max="119" width="54" bestFit="1" customWidth="1"/>
    <col min="120" max="120" width="41.140625" bestFit="1" customWidth="1"/>
    <col min="121" max="121" width="48" bestFit="1" customWidth="1"/>
    <col min="122" max="122" width="39.7109375" bestFit="1" customWidth="1"/>
    <col min="123" max="123" width="46.7109375" bestFit="1" customWidth="1"/>
    <col min="124" max="124" width="48.140625" bestFit="1" customWidth="1"/>
    <col min="125" max="125" width="56" bestFit="1" customWidth="1"/>
    <col min="126" max="126" width="46.85546875" bestFit="1" customWidth="1"/>
    <col min="127" max="127" width="54.7109375" bestFit="1" customWidth="1"/>
    <col min="128" max="128" width="42.7109375" bestFit="1" customWidth="1"/>
    <col min="129" max="129" width="49.7109375" bestFit="1" customWidth="1"/>
    <col min="130" max="130" width="41.42578125" bestFit="1" customWidth="1"/>
    <col min="131" max="131" width="48.28515625" bestFit="1" customWidth="1"/>
    <col min="132" max="132" width="49.85546875" bestFit="1" customWidth="1"/>
    <col min="133" max="133" width="57.7109375" bestFit="1" customWidth="1"/>
    <col min="134" max="134" width="48.5703125" bestFit="1" customWidth="1"/>
    <col min="135" max="135" width="56.28515625" bestFit="1" customWidth="1"/>
    <col min="136" max="136" width="25.5703125" bestFit="1" customWidth="1"/>
    <col min="137" max="137" width="40.85546875" bestFit="1" customWidth="1"/>
    <col min="138" max="138" width="42.7109375" bestFit="1" customWidth="1"/>
    <col min="139" max="139" width="36.7109375" bestFit="1" customWidth="1"/>
    <col min="140" max="140" width="48.140625" bestFit="1" customWidth="1"/>
    <col min="141" max="141" width="49.42578125" bestFit="1" customWidth="1"/>
    <col min="142" max="142" width="30.140625" bestFit="1" customWidth="1"/>
    <col min="143" max="143" width="37.85546875" bestFit="1" customWidth="1"/>
    <col min="144" max="144" width="28.85546875" bestFit="1" customWidth="1"/>
    <col min="145" max="145" width="19.7109375" bestFit="1" customWidth="1"/>
    <col min="146" max="146" width="47.28515625" bestFit="1" customWidth="1"/>
    <col min="147" max="147" width="39.140625" bestFit="1" customWidth="1"/>
    <col min="148" max="148" width="31.28515625" bestFit="1" customWidth="1"/>
    <col min="149" max="149" width="33.5703125" bestFit="1" customWidth="1"/>
    <col min="150" max="150" width="46.42578125" bestFit="1" customWidth="1"/>
    <col min="151" max="151" width="34.7109375" bestFit="1" customWidth="1"/>
    <col min="152" max="152" width="42.140625" bestFit="1" customWidth="1"/>
    <col min="153" max="153" width="44.5703125" bestFit="1" customWidth="1"/>
    <col min="154" max="154" width="28" bestFit="1" customWidth="1"/>
    <col min="155" max="155" width="39.42578125" bestFit="1" customWidth="1"/>
    <col min="156" max="156" width="47.28515625" bestFit="1" customWidth="1"/>
    <col min="157" max="157" width="34.5703125" bestFit="1" customWidth="1"/>
    <col min="158" max="158" width="30.140625" bestFit="1" customWidth="1"/>
    <col min="159" max="160" width="40.5703125" bestFit="1" customWidth="1"/>
    <col min="161" max="161" width="28.28515625" bestFit="1" customWidth="1"/>
    <col min="162" max="162" width="25.7109375" bestFit="1" customWidth="1"/>
    <col min="163" max="163" width="28" bestFit="1" customWidth="1"/>
    <col min="164" max="164" width="34.85546875" bestFit="1" customWidth="1"/>
    <col min="165" max="165" width="30.5703125" bestFit="1" customWidth="1"/>
    <col min="166" max="166" width="46.42578125" bestFit="1" customWidth="1"/>
    <col min="167" max="167" width="32" bestFit="1" customWidth="1"/>
    <col min="168" max="168" width="53.28515625" bestFit="1" customWidth="1"/>
    <col min="169" max="169" width="29.42578125" bestFit="1" customWidth="1"/>
    <col min="170" max="170" width="28.5703125" bestFit="1" customWidth="1"/>
    <col min="171" max="171" width="28.140625" bestFit="1" customWidth="1"/>
    <col min="172" max="172" width="17.7109375" bestFit="1" customWidth="1"/>
    <col min="173" max="173" width="54.5703125" bestFit="1" customWidth="1"/>
    <col min="174" max="174" width="115.7109375" bestFit="1" customWidth="1"/>
    <col min="175" max="175" width="97.7109375" bestFit="1" customWidth="1"/>
    <col min="176" max="176" width="33.28515625" bestFit="1" customWidth="1"/>
    <col min="177" max="177" width="25.140625" bestFit="1" customWidth="1"/>
    <col min="178" max="178" width="32.5703125" bestFit="1" customWidth="1"/>
    <col min="179" max="179" width="36.42578125" bestFit="1" customWidth="1"/>
    <col min="180" max="180" width="65.42578125" bestFit="1" customWidth="1"/>
    <col min="181" max="181" width="14.140625" bestFit="1" customWidth="1"/>
    <col min="182" max="182" width="22.42578125" bestFit="1" customWidth="1"/>
    <col min="183" max="183" width="46.28515625" bestFit="1" customWidth="1"/>
    <col min="184" max="184" width="47.42578125" bestFit="1" customWidth="1"/>
    <col min="185" max="185" width="33.85546875" bestFit="1" customWidth="1"/>
    <col min="186" max="186" width="58.7109375" bestFit="1" customWidth="1"/>
    <col min="187" max="187" width="50.140625" bestFit="1" customWidth="1"/>
    <col min="188" max="188" width="43.85546875" bestFit="1" customWidth="1"/>
    <col min="189" max="189" width="47" bestFit="1" customWidth="1"/>
    <col min="190" max="191" width="24" bestFit="1" customWidth="1"/>
    <col min="192" max="192" width="58.85546875" bestFit="1" customWidth="1"/>
    <col min="193" max="193" width="14.28515625" bestFit="1" customWidth="1"/>
    <col min="194" max="194" width="59.28515625" bestFit="1" customWidth="1"/>
    <col min="195" max="199" width="63.85546875" bestFit="1" customWidth="1"/>
    <col min="200" max="200" width="12" bestFit="1" customWidth="1"/>
  </cols>
  <sheetData>
    <row r="1" spans="1:7" ht="18.75" x14ac:dyDescent="0.3">
      <c r="A1" s="2" t="str">
        <f>params_query_path</f>
        <v>Test\test/query_2_objects_params</v>
      </c>
    </row>
    <row r="3" spans="1:7" x14ac:dyDescent="0.25">
      <c r="A3" s="1" t="s">
        <v>250</v>
      </c>
      <c r="B3" s="1" t="s">
        <v>43</v>
      </c>
      <c r="C3" s="1" t="s">
        <v>251</v>
      </c>
      <c r="D3" s="1" t="s">
        <v>44</v>
      </c>
      <c r="E3" s="1" t="s">
        <v>252</v>
      </c>
      <c r="F3" s="1" t="s">
        <v>253</v>
      </c>
      <c r="G3" s="1" t="s">
        <v>254</v>
      </c>
    </row>
    <row r="4" spans="1:7" x14ac:dyDescent="0.25">
      <c r="A4" s="1"/>
      <c r="B4" s="1" t="s">
        <v>74</v>
      </c>
      <c r="C4" s="1" t="s">
        <v>74</v>
      </c>
      <c r="D4" s="1" t="s">
        <v>75</v>
      </c>
      <c r="E4" s="1" t="s">
        <v>255</v>
      </c>
      <c r="F4" s="1" t="s">
        <v>256</v>
      </c>
      <c r="G4" s="1" t="s">
        <v>226</v>
      </c>
    </row>
    <row r="5" spans="1:7" x14ac:dyDescent="0.25">
      <c r="A5" s="1"/>
      <c r="B5" s="1" t="s">
        <v>130</v>
      </c>
      <c r="C5" s="1" t="s">
        <v>130</v>
      </c>
      <c r="D5" s="1" t="s">
        <v>169</v>
      </c>
      <c r="E5" s="1" t="s">
        <v>257</v>
      </c>
      <c r="F5" s="1" t="s">
        <v>169</v>
      </c>
      <c r="G5" s="1" t="s">
        <v>226</v>
      </c>
    </row>
  </sheetData>
  <dataConsolidate/>
  <pageMargins left="0.7" right="0.7" top="0.75" bottom="0.75" header="0.3" footer="0.3"/>
  <pageSetup paperSize="9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48434C-67B6-45C5-A8E6-1BE89DD880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3</vt:i4>
      </vt:variant>
    </vt:vector>
  </HeadingPairs>
  <TitlesOfParts>
    <vt:vector size="12" baseType="lpstr">
      <vt:lpstr>Системный</vt:lpstr>
      <vt:lpstr>Параметры - Внешние</vt:lpstr>
      <vt:lpstr>Запрос - Параметры</vt:lpstr>
      <vt:lpstr>Запрос - Параметр1</vt:lpstr>
      <vt:lpstr>Запрос - Параметр2</vt:lpstr>
      <vt:lpstr>Запрос - Параметр3</vt:lpstr>
      <vt:lpstr>Запрос - Выбор</vt:lpstr>
      <vt:lpstr>Параметры</vt:lpstr>
      <vt:lpstr>Данные</vt:lpstr>
      <vt:lpstr>params_query_path</vt:lpstr>
      <vt:lpstr>queries_group_selected</vt:lpstr>
      <vt:lpstr>query_selected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 Сафин</dc:creator>
  <cp:lastModifiedBy>Денис Сафин</cp:lastModifiedBy>
  <dcterms:created xsi:type="dcterms:W3CDTF">2017-01-09T11:46:54Z</dcterms:created>
  <dcterms:modified xsi:type="dcterms:W3CDTF">2017-03-07T05:29:42Z</dcterms:modified>
</cp:coreProperties>
</file>