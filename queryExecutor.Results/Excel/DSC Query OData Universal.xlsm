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Work\Excel\OData\DSC\"/>
    </mc:Choice>
  </mc:AlternateContent>
  <bookViews>
    <workbookView xWindow="0" yWindow="0" windowWidth="28800" windowHeight="12300" firstSheet="4" activeTab="4"/>
  </bookViews>
  <sheets>
    <sheet name="Запрос - Все Группы" sheetId="11" state="veryHidden" r:id="rId1"/>
    <sheet name="Запрос - Запросы из группы" sheetId="13" state="veryHidden" r:id="rId2"/>
    <sheet name="Системный" sheetId="14" state="veryHidden" r:id="rId3"/>
    <sheet name="Параметры - Внешние" sheetId="19" state="veryHidden" r:id="rId4"/>
    <sheet name="Запрос - Выбор" sheetId="12" r:id="rId5"/>
    <sheet name="Параметры" sheetId="10" r:id="rId6"/>
    <sheet name="Данные" sheetId="9" r:id="rId7"/>
    <sheet name="Запрос - Параметры" sheetId="18" state="veryHidden" r:id="rId8"/>
  </sheets>
  <functionGroups builtInGroupCount="18"/>
  <definedNames>
    <definedName name="ExternalData_1" localSheetId="6" hidden="1">Данные!$A$3:$C$5</definedName>
    <definedName name="ExternalData_1" localSheetId="0" hidden="1">'Запрос - Все Группы'!$A$1:$B$127</definedName>
    <definedName name="ExternalData_1" localSheetId="1" hidden="1">'Запрос - Запросы из группы'!$A$1:$A$7</definedName>
    <definedName name="ExternalData_1" localSheetId="7" hidden="1">'Запрос - Параметры'!$A$1:$G$2</definedName>
    <definedName name="ExternalData_1" localSheetId="5" hidden="1">Параметры!$A$4:$B$5</definedName>
    <definedName name="ExternalData_1" localSheetId="3" hidden="1">'Параметры - Внешние'!$A$1:$C$24</definedName>
    <definedName name="params_query_path">Параметры!$B$1</definedName>
    <definedName name="queries_by_group_names">queries_by_group[Наименование]</definedName>
    <definedName name="queries_group_selected">'Запрос - Выбор'!$B$4</definedName>
    <definedName name="queries_groups_names">queries_groups[Наименование]</definedName>
    <definedName name="query_selected">'Запрос - Выбор'!$B$5</definedName>
    <definedName name="Все_запросы_названия">#REF!</definedName>
    <definedName name="Запрос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</calcChain>
</file>

<file path=xl/connections.xml><?xml version="1.0" encoding="utf-8"?>
<connections xmlns="http://schemas.openxmlformats.org/spreadsheetml/2006/main">
  <connection id="1" keepAlive="1" name="Запрос — json_value_by_name" description="Соединение с запросом &quot;json_value_by_name&quot; в книге." type="5" refreshedVersion="0" background="1">
    <dbPr connection="Provider=Microsoft.Mashup.OleDb.1;Data Source=$Workbook$;Location=json_value_by_name" command="SELECT * FROM [json_value_by_name]"/>
  </connection>
  <connection id="2" keepAlive="1" name="Запрос — json_value_by_names_path" description="Соединение с запросом &quot;json_value_by_names_path&quot; в книге." type="5" refreshedVersion="0" background="1">
    <dbPr connection="Provider=Microsoft.Mashup.OleDb.1;Data Source=$Workbook$;Location=json_value_by_names_path" command="SELECT * FROM [json_value_by_names_path]"/>
  </connection>
  <connection id="3" keepAlive="1" name="Запрос — odata_columns" description="Соединение с запросом &quot;odata_columns&quot; в книге." type="5" refreshedVersion="0" background="1">
    <dbPr connection="Provider=Microsoft.Mashup.OleDb.1;Data Source=$Workbook$;Location=odata_columns" command="SELECT * FROM [odata_columns]"/>
  </connection>
  <connection id="4" keepAlive="1" name="Запрос — odata_feed" description="Соединение с запросом &quot;odata_feed&quot; в книге." type="5" refreshedVersion="0" background="1">
    <dbPr connection="Provider=Microsoft.Mashup.OleDb.1;Data Source=$Workbook$;Location=odata_feed" command="SELECT * FROM [odata_feed]"/>
  </connection>
  <connection id="5" keepAlive="1" name="Запрос — odata_params" description="Соединение с запросом &quot;odata_params&quot; в книге." type="5" refreshedVersion="0" background="1">
    <dbPr connection="Provider=Microsoft.Mashup.OleDb.1;Data Source=$Workbook$;Location=odata_params" command="SELECT * FROM [odata_params]"/>
  </connection>
  <connection id="6" keepAlive="1" name="Запрос — odata_results" description="Соединение с запросом &quot;odata_results&quot; в книге." type="5" refreshedVersion="0" background="1">
    <dbPr connection="Provider=Microsoft.Mashup.OleDb.1;Data Source=$Workbook$;Location=odata_results" command="SELECT * FROM [odata_results]"/>
  </connection>
  <connection id="7" keepAlive="1" name="Запрос — odata_results (2)" description="Соединение с запросом &quot;odata_results (2)&quot; в книге." type="5" refreshedVersion="0" background="1">
    <dbPr connection="Provider=Microsoft.Mashup.OleDb.1;Data Source=$Workbook$;Location=&quot;odata_results (2)&quot;" command="SELECT * FROM [odata_results (2)]"/>
  </connection>
  <connection id="8" keepAlive="1" name="Запрос — odata_results_expand" description="Соединение с запросом &quot;odata_results_expand&quot; в книге." type="5" refreshedVersion="0" background="1">
    <dbPr connection="Provider=Microsoft.Mashup.OleDb.1;Data Source=$Workbook$;Location=odata_results_expand" command="SELECT * FROM [odata_results_expand]"/>
  </connection>
  <connection id="9" keepAlive="1" name="Запрос — odata_server" description="Соединение с запросом &quot;odata_server&quot; в книге." type="5" refreshedVersion="0" background="1">
    <dbPr connection="Provider=Microsoft.Mashup.OleDb.1;Data Source=$Workbook$;Location=odata_server" command="SELECT * FROM [odata_server]"/>
  </connection>
  <connection id="10" keepAlive="1" name="Запрос — odata_source" description="Соединение с запросом &quot;odata_source&quot; в книге." type="5" refreshedVersion="0" background="1">
    <dbPr connection="Provider=Microsoft.Mashup.OleDb.1;Data Source=$Workbook$;Location=odata_source" command="SELECT * FROM [odata_source]"/>
  </connection>
  <connection id="11" keepAlive="1" name="Запрос — odata_source_with_params" description="Соединение с запросом &quot;odata_source_with_params&quot; в книге." type="5" refreshedVersion="0" background="1">
    <dbPr connection="Provider=Microsoft.Mashup.OleDb.1;Data Source=$Workbook$;Location=odata_source_with_params" command="SELECT * FROM [odata_source_with_params]"/>
  </connection>
  <connection id="12" keepAlive="1" name="Запрос — odata_url" description="Соединение с запросом &quot;odata_url&quot; в книге." type="5" refreshedVersion="0" background="1">
    <dbPr connection="Provider=Microsoft.Mashup.OleDb.1;Data Source=$Workbook$;Location=odata_url" command="SELECT * FROM [odata_url]"/>
  </connection>
  <connection id="13" keepAlive="1" name="Запрос — ora_password" description="Соединение с запросом &quot;ora_password&quot; в книге." type="5" refreshedVersion="0" background="1">
    <dbPr connection="Provider=Microsoft.Mashup.OleDb.1;Data Source=$Workbook$;Location=ora_password" command="SELECT * FROM [ora_password]"/>
  </connection>
  <connection id="14" keepAlive="1" name="Запрос — ora_server" description="Соединение с запросом &quot;ora_server&quot; в книге." type="5" refreshedVersion="0" background="1">
    <dbPr connection="Provider=Microsoft.Mashup.OleDb.1;Data Source=$Workbook$;Location=ora_server" command="SELECT * FROM [ora_server]"/>
  </connection>
  <connection id="15" keepAlive="1" name="Запрос — ora_type_to_pq_type" description="Соединение с запросом &quot;ora_type_to_pq_type&quot; в книге." type="5" refreshedVersion="0" background="1">
    <dbPr connection="Provider=Microsoft.Mashup.OleDb.1;Data Source=$Workbook$;Location=ora_type_to_pq_type" command="SELECT * FROM [ora_type_to_pq_type]"/>
  </connection>
  <connection id="16" keepAlive="1" name="Запрос — ora_user" description="Соединение с запросом &quot;ora_user&quot; в книге." type="5" refreshedVersion="0" background="1">
    <dbPr connection="Provider=Microsoft.Mashup.OleDb.1;Data Source=$Workbook$;Location=ora_user" command="SELECT * FROM [ora_user]"/>
  </connection>
  <connection id="17" keepAlive="1" name="Запрос — pe_file_json" description="Соединение с запросом &quot;pe_file_json&quot; в книге." type="5" refreshedVersion="0" background="1">
    <dbPr connection="Provider=Microsoft.Mashup.OleDb.1;Data Source=$Workbook$;Location=pe_file_json" command="SELECT * FROM [pe_file_json]"/>
  </connection>
  <connection id="18" keepAlive="1" name="Запрос — pe_file_name" description="Соединение с запросом &quot;pe_file_name&quot; в книге." type="5" refreshedVersion="0" background="1">
    <dbPr connection="Provider=Microsoft.Mashup.OleDb.1;Data Source=$Workbook$;Location=pe_file_name" command="SELECT * FROM [pe_file_name]"/>
  </connection>
  <connection id="19" keepAlive="1" name="Запрос — pe_odata_url" description="Соединение с запросом &quot;pe_odata_url&quot; в книге." type="5" refreshedVersion="0" background="1">
    <dbPr connection="Provider=Microsoft.Mashup.OleDb.1;Data Source=$Workbook$;Location=pe_odata_url" command="SELECT * FROM [pe_odata_url]"/>
  </connection>
  <connection id="20" keepAlive="1" name="Запрос — pe_table_add" description="Соединение с запросом &quot;pe_table_add&quot; в книге." type="5" refreshedVersion="0" background="1">
    <dbPr connection="Provider=Microsoft.Mashup.OleDb.1;Data Source=$Workbook$;Location=pe_table_add" command="SELECT * FROM [pe_table_add]"/>
  </connection>
  <connection id="21" keepAlive="1" name="Запрос — pe_table_add_list" description="Соединение с запросом &quot;pe_table_add_list&quot; в книге." type="5" refreshedVersion="0" background="1">
    <dbPr connection="Provider=Microsoft.Mashup.OleDb.1;Data Source=$Workbook$;Location=pe_table_add_list" command="SELECT * FROM [pe_table_add_list]"/>
  </connection>
  <connection id="22" keepAlive="1" name="Запрос — pe_table_all" description="Соединение с запросом &quot;pe_table_all&quot; в книге." type="5" refreshedVersion="6" background="1" saveData="1">
    <dbPr connection="Provider=Microsoft.Mashup.OleDb.1;Data Source=$Workbook$;Location=pe_table_all" command="SELECT * FROM [pe_table_all]"/>
  </connection>
  <connection id="23" keepAlive="1" name="Запрос — pe_value_by_names_path" description="Соединение с запросом &quot;pe_value_by_names_path&quot; в книге." type="5" refreshedVersion="0" background="1">
    <dbPr connection="Provider=Microsoft.Mashup.OleDb.1;Data Source=$Workbook$;Location=pe_value_by_names_path" command="SELECT * FROM [pe_value_by_names_path]"/>
  </connection>
  <connection id="24" keepAlive="1" name="Запрос — queries_by_group" description="Соединение с запросом &quot;queries_by_group&quot; в книге." type="5" refreshedVersion="6" saveData="1">
    <dbPr connection="Provider=Microsoft.Mashup.OleDb.1;Data Source=$Workbook$;Location=queries_by_group;Extended Properties=&quot;&quot;" command="SELECT * FROM [queries_by_group]"/>
  </connection>
  <connection id="25" keepAlive="1" name="Запрос — queries_group_selected" description="Соединение с запросом &quot;queries_group_selected&quot; в книге." type="5" refreshedVersion="0" background="1">
    <dbPr connection="Provider=Microsoft.Mashup.OleDb.1;Data Source=$Workbook$;Location=queries_group_selected" command="SELECT * FROM [queries_group_selected]"/>
  </connection>
  <connection id="26" keepAlive="1" name="Запрос — queries_groups" description="Соединение с запросом &quot;queries_groups&quot; в книге." type="5" refreshedVersion="6" background="1" saveData="1">
    <dbPr connection="Provider=Microsoft.Mashup.OleDb.1;Data Source=$Workbook$;Location=queries_groups;Extended Properties=&quot;&quot;" command="SELECT * FROM [queries_groups]"/>
  </connection>
  <connection id="27" keepAlive="1" name="Запрос — query_params" description="Соединение с запросом &quot;query_params&quot; в книге." type="5" refreshedVersion="6" saveData="1">
    <dbPr connection="Provider=Microsoft.Mashup.OleDb.1;Data Source=$Workbook$;Location=query_params;Extended Properties=&quot;&quot;" command="SELECT * FROM [query_params]"/>
  </connection>
  <connection id="28" keepAlive="1" name="Запрос — query_params_source" description="Соединение с запросом &quot;query_params_source&quot; в книге." type="5" refreshedVersion="6" background="1">
    <dbPr connection="Provider=Microsoft.Mashup.OleDb.1;Data Source=$Workbook$;Location=query_params_source;Extended Properties=&quot;&quot;" command="SELECT * FROM [query_params_source]"/>
  </connection>
  <connection id="29" keepAlive="1" name="Запрос — query_params_values" description="Соединение с запросом &quot;query_params_values&quot; в книге." type="5" refreshedVersion="0" background="1">
    <dbPr connection="Provider=Microsoft.Mashup.OleDb.1;Data Source=$Workbook$;Location=query_params_values" command="SELECT * FROM [query_params_values]"/>
  </connection>
  <connection id="30" keepAlive="1" name="Запрос — query_path" description="Соединение с запросом &quot;query_path&quot; в книге." type="5" refreshedVersion="0" background="1">
    <dbPr connection="Provider=Microsoft.Mashup.OleDb.1;Data Source=$Workbook$;Location=query_path" command="SELECT * FROM [query_path]"/>
  </connection>
  <connection id="31" keepAlive="1" name="Запрос — query_results" description="Соединение с запросом &quot;query_results&quot; в книге." type="5" refreshedVersion="0" background="1">
    <dbPr connection="Provider=Microsoft.Mashup.OleDb.1;Data Source=$Workbook$;Location=query_results" command="SELECT * FROM [query_results]"/>
  </connection>
  <connection id="32" keepAlive="1" name="Запрос — sys_param_get" description="Соединение с запросом &quot;sys_param_get&quot; в книге." type="5" refreshedVersion="0" background="1">
    <dbPr connection="Provider=Microsoft.Mashup.OleDb.1;Data Source=$Workbook$;Location=sys_param_get" command="SELECT * FROM [sys_param_get]"/>
  </connection>
  <connection id="33" keepAlive="1" name="Запрос — sys_params_table" description="Соединение с запросом &quot;sys_params_table&quot; в книге." type="5" refreshedVersion="0" background="1">
    <dbPr connection="Provider=Microsoft.Mashup.OleDb.1;Data Source=$Workbook$;Location=sys_params_table" command="SELECT * FROM [sys_params_table]"/>
  </connection>
  <connection id="34" keepAlive="1" name="Подключение" type="5" refreshedVersion="6" saveData="1">
    <dbPr connection="Provider=Microsoft.Mashup.OleDb.1;Data Source=$Workbook$;Location=query_results;Extended Properties=&quot;&quot;" command="SELECT * FROM [query_results]"/>
  </connection>
</connections>
</file>

<file path=xl/sharedStrings.xml><?xml version="1.0" encoding="utf-8"?>
<sst xmlns="http://schemas.openxmlformats.org/spreadsheetml/2006/main" count="232" uniqueCount="198">
  <si>
    <t>Наименование</t>
  </si>
  <si>
    <t>ID</t>
  </si>
  <si>
    <t>FieldCode</t>
  </si>
  <si>
    <t>ValueType</t>
  </si>
  <si>
    <t>Значение</t>
  </si>
  <si>
    <t>Test</t>
  </si>
  <si>
    <t>Запросы для TDF$flex_fields</t>
  </si>
  <si>
    <t>Запросы для TFC$Filters</t>
  </si>
  <si>
    <t>Запросы для TFC$Filters/Индикаторы</t>
  </si>
  <si>
    <t>Запросы для TFC$Filters/Объекты словаря</t>
  </si>
  <si>
    <t>Запросы для TFC$Filters/Организации</t>
  </si>
  <si>
    <t>Запросы для TFC$Tables</t>
  </si>
  <si>
    <t>Запросы для веб-интерфейса</t>
  </si>
  <si>
    <t>Запросы для шаблонов сообщений</t>
  </si>
  <si>
    <t>Источники данных планировщика задач</t>
  </si>
  <si>
    <t>Источники данных планировщика задач/Импорт данных</t>
  </si>
  <si>
    <t>Источники данных планировщика задач/Служебные задачи</t>
  </si>
  <si>
    <t>Отчетные формы</t>
  </si>
  <si>
    <t>Отчетные формы/Акты на прием-передачу нефти</t>
  </si>
  <si>
    <t>Отчетные формы/Импорт</t>
  </si>
  <si>
    <t>Представления данных</t>
  </si>
  <si>
    <t>Служебные настройки</t>
  </si>
  <si>
    <t>Служебные настройки/calc$data_structures</t>
  </si>
  <si>
    <t>Служебные настройки/Импорт в TFC</t>
  </si>
  <si>
    <t>Служебные настройки/Импорт в TFC/Найденные объекты</t>
  </si>
  <si>
    <t>Служебные настройки/Источники данных для TFC$Tables</t>
  </si>
  <si>
    <t>Служебные настройки/Настройки TFC</t>
  </si>
  <si>
    <t>Служебные настройки/Настройки импорта</t>
  </si>
  <si>
    <t>Служебные настройки/Настройки импорта/Найденные объекты</t>
  </si>
  <si>
    <t>Служебные настройки/Протоколы длительных действий</t>
  </si>
  <si>
    <t>Запрос:</t>
  </si>
  <si>
    <t>Параметры:</t>
  </si>
  <si>
    <t>Группа:</t>
  </si>
  <si>
    <t>Выбор запроса</t>
  </si>
  <si>
    <t>Выберите сначала группу, а затем запрос, после чего нажмите кнопку "Далее"</t>
  </si>
  <si>
    <t>Введите значения параметров, после чего нажмите кнопку "Далее"</t>
  </si>
  <si>
    <t>Параметры</t>
  </si>
  <si>
    <t>Параметр</t>
  </si>
  <si>
    <t>ORA_USER</t>
  </si>
  <si>
    <t>ORA_PASSWORD</t>
  </si>
  <si>
    <t>ORA_SERVER</t>
  </si>
  <si>
    <t>Аварийные скважины</t>
  </si>
  <si>
    <t>Аналитические запросы</t>
  </si>
  <si>
    <t>Аналитические запросы/Вода</t>
  </si>
  <si>
    <t>Аналитические запросы/Вода/Контроль импорта данных</t>
  </si>
  <si>
    <t>Аналитические запросы/Жидкость</t>
  </si>
  <si>
    <t>Аналитические запросы/Жидкость/Контроль импорта данных</t>
  </si>
  <si>
    <t>Аналитические запросы/Электроэнергия</t>
  </si>
  <si>
    <t>Аналитические запросы/Электроэнергия/Контроль импорта данных</t>
  </si>
  <si>
    <t>Аналитические запросы/Электроэнергия/Контроль импорта объектов</t>
  </si>
  <si>
    <t>Запросы для TFC$Filters/Объекты учета</t>
  </si>
  <si>
    <t>Запросы для TFC$Filters/Прогнозные показатели</t>
  </si>
  <si>
    <t>Запросы для TFC$Filters/Универсальные деревья</t>
  </si>
  <si>
    <t>Запросы для ввода справочных значений</t>
  </si>
  <si>
    <t>Запросы для веб-интерфейса/Запросы для балансовых групп</t>
  </si>
  <si>
    <t>Запросы для веб-интерфейса/Запросы для организаций</t>
  </si>
  <si>
    <t>Запросы для веб-интерфейса/Показатели НПО</t>
  </si>
  <si>
    <t>Запросы для отчетов EXEL</t>
  </si>
  <si>
    <t>Запросы для расчета ресурсов</t>
  </si>
  <si>
    <t>Запросы для расчета ресурсов/Групповой расчет</t>
  </si>
  <si>
    <t>Запросы для расчета ресурсов/Запросы для BL элементов</t>
  </si>
  <si>
    <t>Запросы для расчета ресурсов/Запросы для запуска расчетов</t>
  </si>
  <si>
    <t>Запросы для расчета удельного потребления</t>
  </si>
  <si>
    <t>Источники данных для заголовка</t>
  </si>
  <si>
    <t>Источники данных планировщика задач/Импорт данных/Настройки импорта данных</t>
  </si>
  <si>
    <t>Источники данных планировщика задач/Импорт данных/Настройки импорта данных/Импорт из EHD</t>
  </si>
  <si>
    <t>Источники данных планировщика задач/Импорт данных/Настройки импорта данных/Импорт из PI</t>
  </si>
  <si>
    <t>Источники данных планировщика задач/Импорт данных/Настройки импорта данных/Импорт из АРМИТС</t>
  </si>
  <si>
    <t>Источники данных планировщика задач/Импорт данных/Настройки импорта данных/Импорт из АРМИТС/Импорт данных</t>
  </si>
  <si>
    <t>Источники данных планировщика задач/Импорт данных/Настройки импорта данных/Импорт из АРМИТС/Импорт данных/Схемы импорта</t>
  </si>
  <si>
    <t>Источники данных планировщика задач/Импорт данных/Настройки импорта данных/Импорт из АРМИТС/Сихронизация</t>
  </si>
  <si>
    <t>Источники данных планировщика задач/Расчет балансовых групп</t>
  </si>
  <si>
    <t>Источники данных планировщика задач/Расчет балансовых групп/Вода</t>
  </si>
  <si>
    <t>Источники данных планировщика задач/Расчет балансовых групп/Вода/НГДУ "Альметьевнефть"</t>
  </si>
  <si>
    <t>Источники данных планировщика задач/Расчет балансовых групп/Газ</t>
  </si>
  <si>
    <t>Источники данных планировщика задач/Расчет балансовых групп/Жидкость</t>
  </si>
  <si>
    <t>Источники данных планировщика задач/Расчет балансовых групп/Жидкость/НГДУ "Альметьевнефть"</t>
  </si>
  <si>
    <t>Источники данных планировщика задач/Расчет балансовых групп/Жидкость/НГДУ "Альметьевнефть"/ЦДНГ</t>
  </si>
  <si>
    <t>Источники данных планировщика задач/Расчет балансовых групп/Жидкость/НГДУ "Альметьевнефть"/ЦКППН</t>
  </si>
  <si>
    <t>Источники данных планировщика задач/Расчет балансовых групп/Нефть</t>
  </si>
  <si>
    <t>Источники данных планировщика задач/Расчет балансовых групп/Пар</t>
  </si>
  <si>
    <t>Источники данных планировщика задач/Расчет балансовых групп/Тепловая энергия</t>
  </si>
  <si>
    <t>Источники данных планировщика задач/Расчет балансовых групп/Электроэнергия</t>
  </si>
  <si>
    <t>Источники данных планировщика задач/Расчет балансовых групп/Электроэнергия/НГДУ "Альметьевнефть"</t>
  </si>
  <si>
    <t>Источники данных планировщика задач/Расчет удельных затрат</t>
  </si>
  <si>
    <t>Отчетность ПНГ</t>
  </si>
  <si>
    <t>Отчетность ПНГ/Вредные выбросы при сжигании ПНГ</t>
  </si>
  <si>
    <t>Отчетность ПНГ/Добыча нефти по ОБР</t>
  </si>
  <si>
    <t>Отчетность ПНГ/Наполнения</t>
  </si>
  <si>
    <t>Отчетные формы/Анализ расчетов</t>
  </si>
  <si>
    <t>Отчетные формы/Аналитические отчеты</t>
  </si>
  <si>
    <t>Отчетные формы/АРМ ЦП СПД</t>
  </si>
  <si>
    <t>Отчетные формы/Ашальчинское месторождение</t>
  </si>
  <si>
    <t>Отчетные формы/Балансовые группы</t>
  </si>
  <si>
    <t>Отчетные формы/Балансовые группы/Вода</t>
  </si>
  <si>
    <t>Отчетные формы/Балансовые группы/Жидкость</t>
  </si>
  <si>
    <t>Отчетные формы/Балансовые группы/Электроэнергия</t>
  </si>
  <si>
    <t>Отчетные формы/Валовые выбросы</t>
  </si>
  <si>
    <t>Отчетные формы/Выверка информации по емкостному парку</t>
  </si>
  <si>
    <t>Отчетные формы/Информация за сутки и с начала месяца по Ашальчинскому месторождению СВН</t>
  </si>
  <si>
    <t>Отчетные формы/Использование ПНГ</t>
  </si>
  <si>
    <t>Отчетные формы/Оперативная карта</t>
  </si>
  <si>
    <t>Отчетные формы/Сводный отчет</t>
  </si>
  <si>
    <t>Представления данных/ODM</t>
  </si>
  <si>
    <t>Представления данных/Process Management</t>
  </si>
  <si>
    <t>Представления данных/Анализ расчета баланса</t>
  </si>
  <si>
    <t>Представления данных/Анализ расчета удельных затрат</t>
  </si>
  <si>
    <t>Представления данных/Аналитические формы</t>
  </si>
  <si>
    <t>Представления данных/Аналитические формы/test</t>
  </si>
  <si>
    <t>Представления данных/Аналитические формы/Для отчетов</t>
  </si>
  <si>
    <t>Представления данных/Балансовые задачи</t>
  </si>
  <si>
    <t>Представления данных/Балансовые задачи/Обратный расчет</t>
  </si>
  <si>
    <t>Представления данных/Балансовые задачи/Прямой расчет</t>
  </si>
  <si>
    <t>Представления данных/Для тестирования TreeMap</t>
  </si>
  <si>
    <t>Представления данных/Значения по структуре и индикатору</t>
  </si>
  <si>
    <t>Представления данных/Значения по структуре и характеристике</t>
  </si>
  <si>
    <t>Представления данных/Мнемосхемы</t>
  </si>
  <si>
    <t>Представления данных/Ресурсы</t>
  </si>
  <si>
    <t>Представления данных/Тест</t>
  </si>
  <si>
    <t>Протоколы расчетов</t>
  </si>
  <si>
    <t>Протоколы расчетов/Расчет массы вредных веществ</t>
  </si>
  <si>
    <t>Протоколы расчетов/Расчет суммы выплат за выброс вредных веществ</t>
  </si>
  <si>
    <t>Протоколы расчетов/Расчет фактического наполнения ПНГ по промплощадкам</t>
  </si>
  <si>
    <t>Служебные настройки/O&amp;G ODM</t>
  </si>
  <si>
    <t>Служебные настройки/O&amp;G ODM/Задания</t>
  </si>
  <si>
    <t>Служебные настройки/O&amp;G ODM/Задания/Журнал</t>
  </si>
  <si>
    <t>Служебные настройки/O&amp;G ODM/НПО</t>
  </si>
  <si>
    <t>Служебные настройки/Балансовые задачи</t>
  </si>
  <si>
    <t>Служебные настройки/Балансовые задачи/Анализ расчета БГ</t>
  </si>
  <si>
    <t>Служебные настройки/Закрытие TFC</t>
  </si>
  <si>
    <t>Служебные настройки/Закрытие TFC/Балансовые группы</t>
  </si>
  <si>
    <t>Служебные настройки/Закрытие TFC/Вода</t>
  </si>
  <si>
    <t>Служебные настройки/Закрытие TFC/Жидкость</t>
  </si>
  <si>
    <t>Служебные настройки/Закрытие TFC/ПНГ</t>
  </si>
  <si>
    <t>Служебные настройки/Закрытие TFC/Удельные значения</t>
  </si>
  <si>
    <t>Служебные настройки/Закрытие TFC/Электроэнергия</t>
  </si>
  <si>
    <t>Служебные настройки/Удельные затраты</t>
  </si>
  <si>
    <t>Служебные настройки/Удельные затраты/Анализ</t>
  </si>
  <si>
    <t>Служебные настройки/Учет и управление объектами</t>
  </si>
  <si>
    <t>Служебные настройки/Учет и управление объектами/Шаблоны создания</t>
  </si>
  <si>
    <t>Name</t>
  </si>
  <si>
    <t>No</t>
  </si>
  <si>
    <t>D:\Work\Excel\OData\DSC\DSC Query OData Universal.xlsm</t>
  </si>
  <si>
    <t>FILE_PARAMS_EXTERNAL_NAME</t>
  </si>
  <si>
    <t>FILE_CURRENT_NAME</t>
  </si>
  <si>
    <t>FILE_PARAMS_EXTERNAL_EXISTS</t>
  </si>
  <si>
    <t>all_objects</t>
  </si>
  <si>
    <t>all_objects_with_params</t>
  </si>
  <si>
    <t>all_queries</t>
  </si>
  <si>
    <t>queries_by_group</t>
  </si>
  <si>
    <t>queries_groups</t>
  </si>
  <si>
    <t>PREC_COUNT</t>
  </si>
  <si>
    <t>date</t>
  </si>
  <si>
    <t>Path</t>
  </si>
  <si>
    <t>Value</t>
  </si>
  <si>
    <t>OData\URL</t>
  </si>
  <si>
    <t>URL</t>
  </si>
  <si>
    <t>http://web.aquilon.ru:807</t>
  </si>
  <si>
    <t>OData\Query</t>
  </si>
  <si>
    <t>Code</t>
  </si>
  <si>
    <t>Parameters</t>
  </si>
  <si>
    <t>[List]</t>
  </si>
  <si>
    <t>OData\Query\Parameters</t>
  </si>
  <si>
    <t>PDATE</t>
  </si>
  <si>
    <t>01.01.2000</t>
  </si>
  <si>
    <t>OData\Connection</t>
  </si>
  <si>
    <t>User</t>
  </si>
  <si>
    <t>ECO</t>
  </si>
  <si>
    <t>Password</t>
  </si>
  <si>
    <t>Server</t>
  </si>
  <si>
    <t>aql.eco</t>
  </si>
  <si>
    <t>UI\Connection</t>
  </si>
  <si>
    <t>UserChangeAllow</t>
  </si>
  <si>
    <t>PasswordChangeAllow</t>
  </si>
  <si>
    <t>ServerChangeAllow</t>
  </si>
  <si>
    <t>UI\WorkBook</t>
  </si>
  <si>
    <t>LoginDialogShow</t>
  </si>
  <si>
    <t>UI\WorkSheet\Запрос</t>
  </si>
  <si>
    <t>Visible</t>
  </si>
  <si>
    <t>GroupChangeAllow</t>
  </si>
  <si>
    <t>QueryChangeAllow</t>
  </si>
  <si>
    <t>UI\WorkSheet\Параметры</t>
  </si>
  <si>
    <t>ChangeAllow</t>
  </si>
  <si>
    <t>ListChangeAllow</t>
  </si>
  <si>
    <t>UI\WorkSheet\Параметры\ListChangeAllow</t>
  </si>
  <si>
    <t>UI\WorkSheet\Данные</t>
  </si>
  <si>
    <t>FormatMask</t>
  </si>
  <si>
    <t>Precision</t>
  </si>
  <si>
    <t>Scale</t>
  </si>
  <si>
    <t>Test/date</t>
  </si>
  <si>
    <t/>
  </si>
  <si>
    <t>DATE</t>
  </si>
  <si>
    <t>dd.mm.yyyy</t>
  </si>
  <si>
    <t>CDATE_TIME</t>
  </si>
  <si>
    <t>CDATE</t>
  </si>
  <si>
    <t>D:\Work\Excel\OData\DSC\DSC Query OData Universal.params</t>
  </si>
  <si>
    <t>Служебные настройки/OData Service</t>
  </si>
  <si>
    <t>Служебные настройки/OData Service/Excel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</si>
</sst>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"/>
  </numFmts>
  <fonts count="5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2" borderId="0" xfId="0" applyFont="1" applyFill="1" applyBorder="1" applyProtection="1">
      <protection locked="0" hidden="1"/>
    </xf>
    <xf numFmtId="0" fontId="0" fillId="0" borderId="0" xfId="0" applyAlignment="1">
      <alignment horizontal="left" vertical="top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Protection="1"/>
    <xf numFmtId="0" fontId="0" fillId="0" borderId="0" xfId="0" applyProtection="1"/>
    <xf numFmtId="0" fontId="3" fillId="0" borderId="0" xfId="0" applyFont="1" applyBorder="1" applyProtection="1"/>
    <xf numFmtId="164" fontId="0" fillId="0" borderId="0" xfId="0" applyNumberFormat="1" applyProtection="1">
      <protection locked="0"/>
    </xf>
    <xf numFmtId="22" fontId="0" fillId="0" borderId="0" xfId="0" applyNumberFormat="1"/>
  </cellXfs>
  <cellStyles count="1">
    <cellStyle name="Обычный" xfId="0" builtinId="0"/>
  </cellStyles>
  <dxfs count="15">
    <dxf>
      <numFmt numFmtId="164" formatCode="dd\.mm\.yyyy"/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3</xdr:row>
          <xdr:rowOff>57150</xdr:rowOff>
        </xdr:from>
        <xdr:to>
          <xdr:col>5</xdr:col>
          <xdr:colOff>257175</xdr:colOff>
          <xdr:row>4</xdr:row>
          <xdr:rowOff>123825</xdr:rowOff>
        </xdr:to>
        <xdr:sp macro="" textlink="">
          <xdr:nvSpPr>
            <xdr:cNvPr id="7192" name="btnQueryInfoLoad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Далее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95250</xdr:colOff>
      <xdr:row>3</xdr:row>
      <xdr:rowOff>38100</xdr:rowOff>
    </xdr:from>
    <xdr:to>
      <xdr:col>2</xdr:col>
      <xdr:colOff>247650</xdr:colOff>
      <xdr:row>3</xdr:row>
      <xdr:rowOff>190500</xdr:rowOff>
    </xdr:to>
    <xdr:pic macro="[0]!QueriesGroupRefresh">
      <xdr:nvPicPr>
        <xdr:cNvPr id="2" name="imgQueriesGroupRefresh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1175" y="6572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4</xdr:row>
      <xdr:rowOff>28575</xdr:rowOff>
    </xdr:from>
    <xdr:to>
      <xdr:col>2</xdr:col>
      <xdr:colOff>247650</xdr:colOff>
      <xdr:row>4</xdr:row>
      <xdr:rowOff>180975</xdr:rowOff>
    </xdr:to>
    <xdr:pic macro="[0]!QueriesByGroupRefresh">
      <xdr:nvPicPr>
        <xdr:cNvPr id="5" name="imgQueriesByGroupRefresh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1175" y="847725"/>
          <a:ext cx="152400" cy="15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3</xdr:row>
          <xdr:rowOff>47625</xdr:rowOff>
        </xdr:from>
        <xdr:to>
          <xdr:col>3</xdr:col>
          <xdr:colOff>504825</xdr:colOff>
          <xdr:row>4</xdr:row>
          <xdr:rowOff>142875</xdr:rowOff>
        </xdr:to>
        <xdr:sp macro="" textlink="">
          <xdr:nvSpPr>
            <xdr:cNvPr id="3074" name="btnQueryRu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Далее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Наименование" tableColumnId="1"/>
      <queryTableField id="2" name="ID" tableColumnId="2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Наименование" tableColumnId="2"/>
    </queryTableFields>
  </queryTableRefresh>
</queryTable>
</file>

<file path=xl/queryTables/queryTable3.xml><?xml version="1.0" encoding="utf-8"?>
<queryTable xmlns="http://schemas.openxmlformats.org/spreadsheetml/2006/main" name="ExternalData_1" connectionId="2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th" tableColumnId="1"/>
      <queryTableField id="2" name="Name" tableColumnId="2"/>
      <queryTableField id="3" name="Value" tableColumnId="3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27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Наименование" tableColumnId="5"/>
      <queryTableField id="2" name="Значение" tableColumnId="6"/>
    </queryTableFields>
  </queryTableRefresh>
</queryTable>
</file>

<file path=xl/queryTables/queryTable5.xml><?xml version="1.0" encoding="utf-8"?>
<queryTable xmlns="http://schemas.openxmlformats.org/spreadsheetml/2006/main" name="ExternalData_1" backgroundRefresh="0" preserveFormatting="0" connectionId="34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DATE_TIME" tableColumnId="4"/>
      <queryTableField id="2" name="CDATE" tableColumnId="5"/>
      <queryTableField id="3" name="PDATE" tableColumnId="6"/>
    </queryTableFields>
  </queryTableRefresh>
</queryTable>
</file>

<file path=xl/queryTables/queryTable6.xml><?xml version="1.0" encoding="utf-8"?>
<queryTable xmlns="http://schemas.openxmlformats.org/spreadsheetml/2006/main" name="ExternalData_1" removeDataOnSave="1" connectionId="28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FieldCode" tableColumnId="15"/>
      <queryTableField id="2" name="ValueType" tableColumnId="16"/>
      <queryTableField id="3" name="FormatMask" tableColumnId="17"/>
      <queryTableField id="4" name="Precision" tableColumnId="18"/>
      <queryTableField id="5" name="Scale" tableColumnId="19"/>
      <queryTableField id="6" name="Name" tableColumnId="20"/>
      <queryTableField id="7" name="No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0" name="queries_groups" displayName="queries_groups" ref="A1:B127" tableType="queryTable" totalsRowShown="0">
  <autoFilter ref="A1:B127"/>
  <tableColumns count="2">
    <tableColumn id="1" uniqueName="1" name="Наименование" queryTableFieldId="1" dataDxfId="10"/>
    <tableColumn id="2" uniqueName="2" name="ID" queryTableFieldId="2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4" name="queries_by_group" displayName="queries_by_group" ref="A1:A7" tableType="queryTable" totalsRowShown="0">
  <autoFilter ref="A1:A7"/>
  <tableColumns count="1">
    <tableColumn id="2" uniqueName="2" name="Наименование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tab_system_params" displayName="tab_system_params" ref="A2:B8" totalsRowShown="0">
  <autoFilter ref="A2:B8"/>
  <tableColumns count="2">
    <tableColumn id="1" name="Параметр"/>
    <tableColumn id="2" name="Значение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pe_table_all" displayName="pe_table_all" ref="A1:C24" tableType="queryTable" totalsRowShown="0">
  <autoFilter ref="A1:C24"/>
  <tableColumns count="3">
    <tableColumn id="1" uniqueName="1" name="Path" queryTableFieldId="1" dataDxfId="13"/>
    <tableColumn id="2" uniqueName="2" name="Name" queryTableFieldId="2" dataDxfId="12"/>
    <tableColumn id="3" uniqueName="3" name="Value" queryTableFieldId="3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" name="query_params" displayName="query_params" ref="A4:B5" tableType="queryTable" totalsRowShown="0">
  <autoFilter ref="A4:B5"/>
  <tableColumns count="2">
    <tableColumn id="5" uniqueName="5" name="Наименование" queryTableFieldId="1" dataDxfId="1"/>
    <tableColumn id="6" uniqueName="6" name="Значение" queryTableFieldId="2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query_results" displayName="query_results" ref="A3:C5" tableType="queryTable" totalsRowShown="0">
  <autoFilter ref="A3:C5"/>
  <tableColumns count="3">
    <tableColumn id="4" uniqueName="4" name="CDATE_TIME" queryTableFieldId="1"/>
    <tableColumn id="5" uniqueName="5" name="CDATE" queryTableFieldId="2"/>
    <tableColumn id="6" uniqueName="6" name="PDAT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query_params_source" displayName="query_params_source" ref="A1:G2" tableType="queryTable" totalsRowShown="0">
  <autoFilter ref="A1:G2"/>
  <tableColumns count="7">
    <tableColumn id="15" uniqueName="15" name="FieldCode" queryTableFieldId="1" dataDxfId="8"/>
    <tableColumn id="16" uniqueName="16" name="ValueType" queryTableFieldId="2" dataDxfId="7"/>
    <tableColumn id="17" uniqueName="17" name="FormatMask" queryTableFieldId="3" dataDxfId="6"/>
    <tableColumn id="18" uniqueName="18" name="Precision" queryTableFieldId="4" dataDxfId="5"/>
    <tableColumn id="19" uniqueName="19" name="Scale" queryTableFieldId="5" dataDxfId="4"/>
    <tableColumn id="20" uniqueName="20" name="Name" queryTableFieldId="6" dataDxfId="3"/>
    <tableColumn id="21" uniqueName="21" name="No" queryTableFieldId="7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127"/>
  <sheetViews>
    <sheetView topLeftCell="A2" workbookViewId="0">
      <selection sqref="A1:B127"/>
    </sheetView>
  </sheetViews>
  <sheetFormatPr defaultRowHeight="15" x14ac:dyDescent="0.25"/>
  <cols>
    <col min="1" max="1" width="132" bestFit="1" customWidth="1"/>
    <col min="2" max="2" width="9" customWidth="1"/>
    <col min="3" max="3" width="12" customWidth="1"/>
    <col min="4" max="4" width="12" bestFit="1" customWidth="1"/>
  </cols>
  <sheetData>
    <row r="1" spans="1:4" x14ac:dyDescent="0.25">
      <c r="A1" s="1" t="s">
        <v>0</v>
      </c>
      <c r="B1" s="1" t="s">
        <v>1</v>
      </c>
      <c r="C1" s="1"/>
      <c r="D1" s="1"/>
    </row>
    <row r="2" spans="1:4" x14ac:dyDescent="0.25">
      <c r="A2" s="1" t="s">
        <v>5</v>
      </c>
      <c r="B2" s="1">
        <v>12749720</v>
      </c>
      <c r="C2" s="1"/>
      <c r="D2" s="1"/>
    </row>
    <row r="3" spans="1:4" x14ac:dyDescent="0.25">
      <c r="A3" s="1" t="s">
        <v>41</v>
      </c>
      <c r="B3" s="1">
        <v>12673104</v>
      </c>
      <c r="D3" s="1"/>
    </row>
    <row r="4" spans="1:4" x14ac:dyDescent="0.25">
      <c r="A4" s="1" t="s">
        <v>42</v>
      </c>
      <c r="B4" s="1">
        <v>11719067</v>
      </c>
      <c r="D4" s="1"/>
    </row>
    <row r="5" spans="1:4" x14ac:dyDescent="0.25">
      <c r="A5" s="1" t="s">
        <v>43</v>
      </c>
      <c r="B5" s="1">
        <v>12104270</v>
      </c>
      <c r="D5" s="1"/>
    </row>
    <row r="6" spans="1:4" x14ac:dyDescent="0.25">
      <c r="A6" s="1" t="s">
        <v>44</v>
      </c>
      <c r="B6" s="1">
        <v>12104271</v>
      </c>
      <c r="D6" s="1"/>
    </row>
    <row r="7" spans="1:4" x14ac:dyDescent="0.25">
      <c r="A7" s="1" t="s">
        <v>45</v>
      </c>
      <c r="B7" s="1">
        <v>12133108</v>
      </c>
      <c r="D7" s="1"/>
    </row>
    <row r="8" spans="1:4" x14ac:dyDescent="0.25">
      <c r="A8" s="1" t="s">
        <v>46</v>
      </c>
      <c r="B8" s="1">
        <v>12133109</v>
      </c>
      <c r="D8" s="1"/>
    </row>
    <row r="9" spans="1:4" x14ac:dyDescent="0.25">
      <c r="A9" s="1" t="s">
        <v>47</v>
      </c>
      <c r="B9" s="1">
        <v>11841772</v>
      </c>
      <c r="D9" s="1"/>
    </row>
    <row r="10" spans="1:4" x14ac:dyDescent="0.25">
      <c r="A10" s="1" t="s">
        <v>48</v>
      </c>
      <c r="B10" s="1">
        <v>11841773</v>
      </c>
      <c r="D10" s="1"/>
    </row>
    <row r="11" spans="1:4" x14ac:dyDescent="0.25">
      <c r="A11" s="1" t="s">
        <v>49</v>
      </c>
      <c r="B11" s="1">
        <v>11841774</v>
      </c>
      <c r="D11" s="1"/>
    </row>
    <row r="12" spans="1:4" x14ac:dyDescent="0.25">
      <c r="A12" s="1" t="s">
        <v>6</v>
      </c>
      <c r="B12" s="1">
        <v>12525407</v>
      </c>
      <c r="D12" s="1"/>
    </row>
    <row r="13" spans="1:4" x14ac:dyDescent="0.25">
      <c r="A13" s="1" t="s">
        <v>7</v>
      </c>
      <c r="B13" s="1">
        <v>12486539</v>
      </c>
      <c r="D13" s="1"/>
    </row>
    <row r="14" spans="1:4" x14ac:dyDescent="0.25">
      <c r="A14" s="1" t="s">
        <v>8</v>
      </c>
      <c r="B14" s="1">
        <v>12486540</v>
      </c>
      <c r="D14" s="1"/>
    </row>
    <row r="15" spans="1:4" x14ac:dyDescent="0.25">
      <c r="A15" s="1" t="s">
        <v>9</v>
      </c>
      <c r="B15" s="1">
        <v>12584662</v>
      </c>
      <c r="D15" s="1"/>
    </row>
    <row r="16" spans="1:4" x14ac:dyDescent="0.25">
      <c r="A16" s="1" t="s">
        <v>50</v>
      </c>
      <c r="B16" s="1">
        <v>12527686</v>
      </c>
      <c r="D16" s="1"/>
    </row>
    <row r="17" spans="1:4" x14ac:dyDescent="0.25">
      <c r="A17" s="1" t="s">
        <v>10</v>
      </c>
      <c r="B17" s="1">
        <v>12581031</v>
      </c>
      <c r="D17" s="1"/>
    </row>
    <row r="18" spans="1:4" x14ac:dyDescent="0.25">
      <c r="A18" s="1" t="s">
        <v>51</v>
      </c>
      <c r="B18" s="1">
        <v>12676890</v>
      </c>
      <c r="D18" s="1"/>
    </row>
    <row r="19" spans="1:4" x14ac:dyDescent="0.25">
      <c r="A19" s="1" t="s">
        <v>52</v>
      </c>
      <c r="B19" s="1">
        <v>12585538</v>
      </c>
      <c r="D19" s="1"/>
    </row>
    <row r="20" spans="1:4" x14ac:dyDescent="0.25">
      <c r="A20" s="1" t="s">
        <v>11</v>
      </c>
      <c r="B20" s="1">
        <v>11692645</v>
      </c>
      <c r="D20" s="1"/>
    </row>
    <row r="21" spans="1:4" x14ac:dyDescent="0.25">
      <c r="A21" s="1" t="s">
        <v>53</v>
      </c>
      <c r="B21" s="1">
        <v>11691050</v>
      </c>
      <c r="D21" s="1"/>
    </row>
    <row r="22" spans="1:4" x14ac:dyDescent="0.25">
      <c r="A22" s="1" t="s">
        <v>12</v>
      </c>
      <c r="B22" s="1">
        <v>11867001</v>
      </c>
      <c r="D22" s="1"/>
    </row>
    <row r="23" spans="1:4" x14ac:dyDescent="0.25">
      <c r="A23" s="1" t="s">
        <v>54</v>
      </c>
      <c r="B23" s="1">
        <v>11867002</v>
      </c>
      <c r="D23" s="1"/>
    </row>
    <row r="24" spans="1:4" x14ac:dyDescent="0.25">
      <c r="A24" s="1" t="s">
        <v>55</v>
      </c>
      <c r="B24" s="1">
        <v>12248485</v>
      </c>
      <c r="D24" s="1"/>
    </row>
    <row r="25" spans="1:4" x14ac:dyDescent="0.25">
      <c r="A25" s="1" t="s">
        <v>56</v>
      </c>
      <c r="B25" s="1">
        <v>12133020</v>
      </c>
      <c r="D25" s="1"/>
    </row>
    <row r="26" spans="1:4" x14ac:dyDescent="0.25">
      <c r="A26" s="1" t="s">
        <v>57</v>
      </c>
      <c r="B26" s="1">
        <v>12678277</v>
      </c>
      <c r="D26" s="1"/>
    </row>
    <row r="27" spans="1:4" x14ac:dyDescent="0.25">
      <c r="A27" s="1" t="s">
        <v>58</v>
      </c>
      <c r="B27" s="1">
        <v>12581124</v>
      </c>
      <c r="D27" s="1"/>
    </row>
    <row r="28" spans="1:4" x14ac:dyDescent="0.25">
      <c r="A28" s="1" t="s">
        <v>59</v>
      </c>
      <c r="B28" s="1">
        <v>12586305</v>
      </c>
      <c r="D28" s="1"/>
    </row>
    <row r="29" spans="1:4" x14ac:dyDescent="0.25">
      <c r="A29" s="1" t="s">
        <v>60</v>
      </c>
      <c r="B29" s="1">
        <v>12581958</v>
      </c>
      <c r="D29" s="1"/>
    </row>
    <row r="30" spans="1:4" x14ac:dyDescent="0.25">
      <c r="A30" s="1" t="s">
        <v>61</v>
      </c>
      <c r="B30" s="1">
        <v>12581961</v>
      </c>
      <c r="D30" s="1"/>
    </row>
    <row r="31" spans="1:4" x14ac:dyDescent="0.25">
      <c r="A31" s="1" t="s">
        <v>62</v>
      </c>
      <c r="B31" s="1">
        <v>12209342</v>
      </c>
      <c r="D31" s="1"/>
    </row>
    <row r="32" spans="1:4" x14ac:dyDescent="0.25">
      <c r="A32" s="1" t="s">
        <v>13</v>
      </c>
      <c r="B32" s="1">
        <v>12535214</v>
      </c>
      <c r="D32" s="1"/>
    </row>
    <row r="33" spans="1:4" x14ac:dyDescent="0.25">
      <c r="A33" s="1" t="s">
        <v>63</v>
      </c>
      <c r="B33" s="1">
        <v>12586231</v>
      </c>
      <c r="D33" s="1"/>
    </row>
    <row r="34" spans="1:4" x14ac:dyDescent="0.25">
      <c r="A34" s="1" t="s">
        <v>14</v>
      </c>
      <c r="B34" s="1">
        <v>11700985</v>
      </c>
      <c r="D34" s="1"/>
    </row>
    <row r="35" spans="1:4" x14ac:dyDescent="0.25">
      <c r="A35" s="1" t="s">
        <v>15</v>
      </c>
      <c r="B35" s="1">
        <v>11700986</v>
      </c>
      <c r="D35" s="1"/>
    </row>
    <row r="36" spans="1:4" x14ac:dyDescent="0.25">
      <c r="A36" s="1" t="s">
        <v>64</v>
      </c>
      <c r="B36" s="1">
        <v>12301003</v>
      </c>
      <c r="D36" s="1"/>
    </row>
    <row r="37" spans="1:4" x14ac:dyDescent="0.25">
      <c r="A37" s="1" t="s">
        <v>65</v>
      </c>
      <c r="B37" s="1">
        <v>12387330</v>
      </c>
      <c r="D37" s="1"/>
    </row>
    <row r="38" spans="1:4" x14ac:dyDescent="0.25">
      <c r="A38" s="1" t="s">
        <v>66</v>
      </c>
      <c r="B38" s="1">
        <v>12387331</v>
      </c>
      <c r="D38" s="1"/>
    </row>
    <row r="39" spans="1:4" x14ac:dyDescent="0.25">
      <c r="A39" s="1" t="s">
        <v>67</v>
      </c>
      <c r="B39" s="1">
        <v>12301004</v>
      </c>
      <c r="D39" s="1"/>
    </row>
    <row r="40" spans="1:4" x14ac:dyDescent="0.25">
      <c r="A40" s="1" t="s">
        <v>68</v>
      </c>
      <c r="B40" s="1">
        <v>12301005</v>
      </c>
      <c r="D40" s="1"/>
    </row>
    <row r="41" spans="1:4" x14ac:dyDescent="0.25">
      <c r="A41" s="1" t="s">
        <v>69</v>
      </c>
      <c r="B41" s="1">
        <v>12646366</v>
      </c>
      <c r="D41" s="1"/>
    </row>
    <row r="42" spans="1:4" x14ac:dyDescent="0.25">
      <c r="A42" s="1" t="s">
        <v>70</v>
      </c>
      <c r="B42" s="1">
        <v>12380778</v>
      </c>
      <c r="D42" s="1"/>
    </row>
    <row r="43" spans="1:4" x14ac:dyDescent="0.25">
      <c r="A43" s="1" t="s">
        <v>71</v>
      </c>
      <c r="B43" s="1">
        <v>11966520</v>
      </c>
      <c r="D43" s="1"/>
    </row>
    <row r="44" spans="1:4" x14ac:dyDescent="0.25">
      <c r="A44" s="1" t="s">
        <v>72</v>
      </c>
      <c r="B44" s="1">
        <v>11966550</v>
      </c>
      <c r="D44" s="1"/>
    </row>
    <row r="45" spans="1:4" x14ac:dyDescent="0.25">
      <c r="A45" s="1" t="s">
        <v>73</v>
      </c>
      <c r="B45" s="1">
        <v>11966553</v>
      </c>
      <c r="D45" s="1"/>
    </row>
    <row r="46" spans="1:4" x14ac:dyDescent="0.25">
      <c r="A46" s="1" t="s">
        <v>74</v>
      </c>
      <c r="B46" s="1">
        <v>12579607</v>
      </c>
      <c r="D46" s="1"/>
    </row>
    <row r="47" spans="1:4" x14ac:dyDescent="0.25">
      <c r="A47" s="1" t="s">
        <v>75</v>
      </c>
      <c r="B47" s="1">
        <v>11966551</v>
      </c>
      <c r="D47" s="1"/>
    </row>
    <row r="48" spans="1:4" x14ac:dyDescent="0.25">
      <c r="A48" s="1" t="s">
        <v>76</v>
      </c>
      <c r="B48" s="1">
        <v>11966554</v>
      </c>
      <c r="D48" s="1"/>
    </row>
    <row r="49" spans="1:4" x14ac:dyDescent="0.25">
      <c r="A49" s="1" t="s">
        <v>77</v>
      </c>
      <c r="B49" s="1">
        <v>12510862</v>
      </c>
      <c r="D49" s="1"/>
    </row>
    <row r="50" spans="1:4" x14ac:dyDescent="0.25">
      <c r="A50" s="1" t="s">
        <v>78</v>
      </c>
      <c r="B50" s="1">
        <v>12371543</v>
      </c>
      <c r="D50" s="1"/>
    </row>
    <row r="51" spans="1:4" x14ac:dyDescent="0.25">
      <c r="A51" s="1" t="s">
        <v>79</v>
      </c>
      <c r="B51" s="1">
        <v>12579612</v>
      </c>
      <c r="D51" s="1"/>
    </row>
    <row r="52" spans="1:4" x14ac:dyDescent="0.25">
      <c r="A52" s="1" t="s">
        <v>80</v>
      </c>
      <c r="B52" s="1">
        <v>12579618</v>
      </c>
      <c r="D52" s="1"/>
    </row>
    <row r="53" spans="1:4" x14ac:dyDescent="0.25">
      <c r="A53" s="1" t="s">
        <v>81</v>
      </c>
      <c r="B53" s="1">
        <v>12579619</v>
      </c>
      <c r="D53" s="1"/>
    </row>
    <row r="54" spans="1:4" x14ac:dyDescent="0.25">
      <c r="A54" s="1" t="s">
        <v>82</v>
      </c>
      <c r="B54" s="1">
        <v>11966521</v>
      </c>
      <c r="D54" s="1"/>
    </row>
    <row r="55" spans="1:4" x14ac:dyDescent="0.25">
      <c r="A55" s="1" t="s">
        <v>83</v>
      </c>
      <c r="B55" s="1">
        <v>11966522</v>
      </c>
      <c r="D55" s="1"/>
    </row>
    <row r="56" spans="1:4" x14ac:dyDescent="0.25">
      <c r="A56" s="1" t="s">
        <v>84</v>
      </c>
      <c r="B56" s="1">
        <v>12357991</v>
      </c>
      <c r="D56" s="1"/>
    </row>
    <row r="57" spans="1:4" x14ac:dyDescent="0.25">
      <c r="A57" s="1" t="s">
        <v>16</v>
      </c>
      <c r="B57" s="1">
        <v>12209257</v>
      </c>
      <c r="D57" s="1"/>
    </row>
    <row r="58" spans="1:4" x14ac:dyDescent="0.25">
      <c r="A58" s="1" t="s">
        <v>85</v>
      </c>
      <c r="B58" s="1">
        <v>12675095</v>
      </c>
      <c r="D58" s="1"/>
    </row>
    <row r="59" spans="1:4" x14ac:dyDescent="0.25">
      <c r="A59" s="1" t="s">
        <v>86</v>
      </c>
      <c r="B59" s="1">
        <v>12680792</v>
      </c>
      <c r="D59" s="1"/>
    </row>
    <row r="60" spans="1:4" x14ac:dyDescent="0.25">
      <c r="A60" s="1" t="s">
        <v>87</v>
      </c>
      <c r="B60" s="1">
        <v>12680801</v>
      </c>
      <c r="D60" s="1"/>
    </row>
    <row r="61" spans="1:4" x14ac:dyDescent="0.25">
      <c r="A61" s="1" t="s">
        <v>88</v>
      </c>
      <c r="B61" s="1">
        <v>12675096</v>
      </c>
      <c r="D61" s="1"/>
    </row>
    <row r="62" spans="1:4" x14ac:dyDescent="0.25">
      <c r="A62" s="1" t="s">
        <v>17</v>
      </c>
      <c r="B62" s="1">
        <v>11699473</v>
      </c>
      <c r="D62" s="1"/>
    </row>
    <row r="63" spans="1:4" x14ac:dyDescent="0.25">
      <c r="A63" s="1" t="s">
        <v>18</v>
      </c>
      <c r="B63" s="1">
        <v>12387832</v>
      </c>
      <c r="D63" s="1"/>
    </row>
    <row r="64" spans="1:4" x14ac:dyDescent="0.25">
      <c r="A64" s="1" t="s">
        <v>89</v>
      </c>
      <c r="B64" s="1">
        <v>12510247</v>
      </c>
      <c r="D64" s="1"/>
    </row>
    <row r="65" spans="1:4" x14ac:dyDescent="0.25">
      <c r="A65" s="1" t="s">
        <v>90</v>
      </c>
      <c r="B65" s="1">
        <v>12674950</v>
      </c>
      <c r="D65" s="1"/>
    </row>
    <row r="66" spans="1:4" x14ac:dyDescent="0.25">
      <c r="A66" s="1" t="s">
        <v>91</v>
      </c>
      <c r="B66" s="1">
        <v>12382218</v>
      </c>
      <c r="D66" s="1"/>
    </row>
    <row r="67" spans="1:4" x14ac:dyDescent="0.25">
      <c r="A67" s="1" t="s">
        <v>92</v>
      </c>
      <c r="B67" s="1">
        <v>12527184</v>
      </c>
      <c r="D67" s="1"/>
    </row>
    <row r="68" spans="1:4" x14ac:dyDescent="0.25">
      <c r="A68" s="1" t="s">
        <v>93</v>
      </c>
      <c r="B68" s="1">
        <v>12111817</v>
      </c>
      <c r="D68" s="1"/>
    </row>
    <row r="69" spans="1:4" x14ac:dyDescent="0.25">
      <c r="A69" s="1" t="s">
        <v>94</v>
      </c>
      <c r="B69" s="1">
        <v>12305342</v>
      </c>
      <c r="D69" s="1"/>
    </row>
    <row r="70" spans="1:4" x14ac:dyDescent="0.25">
      <c r="A70" s="1" t="s">
        <v>95</v>
      </c>
      <c r="B70" s="1">
        <v>12305282</v>
      </c>
      <c r="D70" s="1"/>
    </row>
    <row r="71" spans="1:4" x14ac:dyDescent="0.25">
      <c r="A71" s="1" t="s">
        <v>96</v>
      </c>
      <c r="B71" s="1">
        <v>12512759</v>
      </c>
      <c r="D71" s="1"/>
    </row>
    <row r="72" spans="1:4" x14ac:dyDescent="0.25">
      <c r="A72" s="1" t="s">
        <v>97</v>
      </c>
      <c r="B72" s="1">
        <v>12678675</v>
      </c>
      <c r="D72" s="1"/>
    </row>
    <row r="73" spans="1:4" x14ac:dyDescent="0.25">
      <c r="A73" s="1" t="s">
        <v>98</v>
      </c>
      <c r="B73" s="1">
        <v>12586001</v>
      </c>
      <c r="D73" s="1"/>
    </row>
    <row r="74" spans="1:4" x14ac:dyDescent="0.25">
      <c r="A74" s="1" t="s">
        <v>19</v>
      </c>
      <c r="B74" s="1">
        <v>12535124</v>
      </c>
      <c r="D74" s="1"/>
    </row>
    <row r="75" spans="1:4" x14ac:dyDescent="0.25">
      <c r="A75" s="1" t="s">
        <v>99</v>
      </c>
      <c r="B75" s="1">
        <v>12536707</v>
      </c>
      <c r="D75" s="1"/>
    </row>
    <row r="76" spans="1:4" x14ac:dyDescent="0.25">
      <c r="A76" s="1" t="s">
        <v>100</v>
      </c>
      <c r="B76" s="1">
        <v>12679027</v>
      </c>
      <c r="D76" s="1"/>
    </row>
    <row r="77" spans="1:4" x14ac:dyDescent="0.25">
      <c r="A77" s="1" t="s">
        <v>101</v>
      </c>
      <c r="B77" s="1">
        <v>12648046</v>
      </c>
      <c r="D77" s="1"/>
    </row>
    <row r="78" spans="1:4" x14ac:dyDescent="0.25">
      <c r="A78" s="1" t="s">
        <v>102</v>
      </c>
      <c r="B78" s="1">
        <v>12679040</v>
      </c>
      <c r="D78" s="1"/>
    </row>
    <row r="79" spans="1:4" x14ac:dyDescent="0.25">
      <c r="A79" s="1" t="s">
        <v>20</v>
      </c>
      <c r="B79" s="1">
        <v>12528747</v>
      </c>
      <c r="D79" s="1"/>
    </row>
    <row r="80" spans="1:4" x14ac:dyDescent="0.25">
      <c r="A80" s="1" t="s">
        <v>103</v>
      </c>
      <c r="B80" s="1">
        <v>12528748</v>
      </c>
      <c r="D80" s="1"/>
    </row>
    <row r="81" spans="1:4" x14ac:dyDescent="0.25">
      <c r="A81" s="1" t="s">
        <v>104</v>
      </c>
      <c r="B81" s="1">
        <v>12672636</v>
      </c>
      <c r="D81" s="1"/>
    </row>
    <row r="82" spans="1:4" x14ac:dyDescent="0.25">
      <c r="A82" s="1" t="s">
        <v>105</v>
      </c>
      <c r="B82" s="1">
        <v>12580493</v>
      </c>
      <c r="D82" s="1"/>
    </row>
    <row r="83" spans="1:4" x14ac:dyDescent="0.25">
      <c r="A83" s="1" t="s">
        <v>106</v>
      </c>
      <c r="B83" s="1">
        <v>12585443</v>
      </c>
      <c r="D83" s="1"/>
    </row>
    <row r="84" spans="1:4" x14ac:dyDescent="0.25">
      <c r="A84" s="1" t="s">
        <v>107</v>
      </c>
      <c r="B84" s="1">
        <v>12613164</v>
      </c>
      <c r="D84" s="1"/>
    </row>
    <row r="85" spans="1:4" x14ac:dyDescent="0.25">
      <c r="A85" s="1" t="s">
        <v>108</v>
      </c>
      <c r="B85" s="1">
        <v>12633845</v>
      </c>
      <c r="D85" s="1"/>
    </row>
    <row r="86" spans="1:4" x14ac:dyDescent="0.25">
      <c r="A86" s="1" t="s">
        <v>109</v>
      </c>
      <c r="B86" s="1">
        <v>12614532</v>
      </c>
      <c r="D86" s="1"/>
    </row>
    <row r="87" spans="1:4" x14ac:dyDescent="0.25">
      <c r="A87" s="1" t="s">
        <v>110</v>
      </c>
      <c r="B87" s="1">
        <v>12687709</v>
      </c>
      <c r="D87" s="1"/>
    </row>
    <row r="88" spans="1:4" x14ac:dyDescent="0.25">
      <c r="A88" s="1" t="s">
        <v>111</v>
      </c>
      <c r="B88" s="1">
        <v>12687726</v>
      </c>
      <c r="D88" s="1"/>
    </row>
    <row r="89" spans="1:4" x14ac:dyDescent="0.25">
      <c r="A89" s="1" t="s">
        <v>112</v>
      </c>
      <c r="B89" s="1">
        <v>12687710</v>
      </c>
      <c r="D89" s="1"/>
    </row>
    <row r="90" spans="1:4" x14ac:dyDescent="0.25">
      <c r="A90" s="1" t="s">
        <v>113</v>
      </c>
      <c r="B90" s="1">
        <v>12611978</v>
      </c>
      <c r="D90" s="1"/>
    </row>
    <row r="91" spans="1:4" x14ac:dyDescent="0.25">
      <c r="A91" s="1" t="s">
        <v>114</v>
      </c>
      <c r="B91" s="1">
        <v>12647369</v>
      </c>
      <c r="D91" s="1"/>
    </row>
    <row r="92" spans="1:4" x14ac:dyDescent="0.25">
      <c r="A92" s="1" t="s">
        <v>115</v>
      </c>
      <c r="B92" s="1">
        <v>12647409</v>
      </c>
      <c r="D92" s="1"/>
    </row>
    <row r="93" spans="1:4" x14ac:dyDescent="0.25">
      <c r="A93" s="1" t="s">
        <v>116</v>
      </c>
      <c r="B93" s="1">
        <v>12689789</v>
      </c>
      <c r="D93" s="1"/>
    </row>
    <row r="94" spans="1:4" x14ac:dyDescent="0.25">
      <c r="A94" s="1" t="s">
        <v>117</v>
      </c>
      <c r="B94" s="1">
        <v>12687715</v>
      </c>
      <c r="D94" s="1"/>
    </row>
    <row r="95" spans="1:4" x14ac:dyDescent="0.25">
      <c r="A95" s="1" t="s">
        <v>118</v>
      </c>
      <c r="B95" s="1">
        <v>12557421</v>
      </c>
      <c r="D95" s="1"/>
    </row>
    <row r="96" spans="1:4" x14ac:dyDescent="0.25">
      <c r="A96" s="1" t="s">
        <v>119</v>
      </c>
      <c r="B96" s="1">
        <v>11692930</v>
      </c>
      <c r="D96" s="1"/>
    </row>
    <row r="97" spans="1:4" x14ac:dyDescent="0.25">
      <c r="A97" s="1" t="s">
        <v>120</v>
      </c>
      <c r="B97" s="1">
        <v>12674889</v>
      </c>
      <c r="D97" s="1"/>
    </row>
    <row r="98" spans="1:4" x14ac:dyDescent="0.25">
      <c r="A98" s="1" t="s">
        <v>121</v>
      </c>
      <c r="B98" s="1">
        <v>12680795</v>
      </c>
      <c r="D98" s="1"/>
    </row>
    <row r="99" spans="1:4" x14ac:dyDescent="0.25">
      <c r="A99" s="1" t="s">
        <v>122</v>
      </c>
      <c r="B99" s="1">
        <v>12680832</v>
      </c>
      <c r="D99" s="1"/>
    </row>
    <row r="100" spans="1:4" x14ac:dyDescent="0.25">
      <c r="A100" s="1" t="s">
        <v>21</v>
      </c>
      <c r="B100" s="1">
        <v>11765571</v>
      </c>
      <c r="D100" s="1"/>
    </row>
    <row r="101" spans="1:4" x14ac:dyDescent="0.25">
      <c r="A101" s="1" t="s">
        <v>22</v>
      </c>
      <c r="B101" s="1">
        <v>12557460</v>
      </c>
      <c r="D101" s="1"/>
    </row>
    <row r="102" spans="1:4" x14ac:dyDescent="0.25">
      <c r="A102" s="1" t="s">
        <v>196</v>
      </c>
      <c r="B102" s="1">
        <v>12749878</v>
      </c>
      <c r="D102" s="1"/>
    </row>
    <row r="103" spans="1:4" x14ac:dyDescent="0.25">
      <c r="A103" s="1" t="s">
        <v>197</v>
      </c>
      <c r="B103" s="1">
        <v>12749879</v>
      </c>
      <c r="D103" s="1"/>
    </row>
    <row r="104" spans="1:4" x14ac:dyDescent="0.25">
      <c r="A104" s="1" t="s">
        <v>123</v>
      </c>
      <c r="B104" s="1">
        <v>12526984</v>
      </c>
      <c r="D104" s="1"/>
    </row>
    <row r="105" spans="1:4" x14ac:dyDescent="0.25">
      <c r="A105" s="1" t="s">
        <v>124</v>
      </c>
      <c r="B105" s="1">
        <v>12526985</v>
      </c>
      <c r="D105" s="1"/>
    </row>
    <row r="106" spans="1:4" x14ac:dyDescent="0.25">
      <c r="A106" s="1" t="s">
        <v>125</v>
      </c>
      <c r="B106" s="1">
        <v>12526986</v>
      </c>
      <c r="D106" s="1"/>
    </row>
    <row r="107" spans="1:4" x14ac:dyDescent="0.25">
      <c r="A107" s="1" t="s">
        <v>126</v>
      </c>
      <c r="B107" s="1">
        <v>12528957</v>
      </c>
      <c r="D107" s="1"/>
    </row>
    <row r="108" spans="1:4" x14ac:dyDescent="0.25">
      <c r="A108" s="1" t="s">
        <v>127</v>
      </c>
      <c r="B108" s="1">
        <v>11966633</v>
      </c>
      <c r="D108" s="1"/>
    </row>
    <row r="109" spans="1:4" x14ac:dyDescent="0.25">
      <c r="A109" s="1" t="s">
        <v>128</v>
      </c>
      <c r="B109" s="1">
        <v>11966634</v>
      </c>
      <c r="D109" s="1"/>
    </row>
    <row r="110" spans="1:4" x14ac:dyDescent="0.25">
      <c r="A110" s="1" t="s">
        <v>129</v>
      </c>
      <c r="B110" s="1">
        <v>12113087</v>
      </c>
      <c r="D110" s="1"/>
    </row>
    <row r="111" spans="1:4" x14ac:dyDescent="0.25">
      <c r="A111" s="1" t="s">
        <v>130</v>
      </c>
      <c r="B111" s="1">
        <v>12387426</v>
      </c>
      <c r="D111" s="1"/>
    </row>
    <row r="112" spans="1:4" x14ac:dyDescent="0.25">
      <c r="A112" s="1" t="s">
        <v>131</v>
      </c>
      <c r="B112" s="1">
        <v>12113089</v>
      </c>
      <c r="D112" s="1"/>
    </row>
    <row r="113" spans="1:4" x14ac:dyDescent="0.25">
      <c r="A113" s="1" t="s">
        <v>132</v>
      </c>
      <c r="B113" s="1">
        <v>12113090</v>
      </c>
      <c r="D113" s="1"/>
    </row>
    <row r="114" spans="1:4" x14ac:dyDescent="0.25">
      <c r="A114" s="1" t="s">
        <v>133</v>
      </c>
      <c r="B114" s="1">
        <v>12387424</v>
      </c>
      <c r="D114" s="1"/>
    </row>
    <row r="115" spans="1:4" x14ac:dyDescent="0.25">
      <c r="A115" s="1" t="s">
        <v>134</v>
      </c>
      <c r="B115" s="1">
        <v>12387425</v>
      </c>
      <c r="D115" s="1"/>
    </row>
    <row r="116" spans="1:4" x14ac:dyDescent="0.25">
      <c r="A116" s="1" t="s">
        <v>135</v>
      </c>
      <c r="B116" s="1">
        <v>12113088</v>
      </c>
      <c r="D116" s="1"/>
    </row>
    <row r="117" spans="1:4" x14ac:dyDescent="0.25">
      <c r="A117" s="1" t="s">
        <v>23</v>
      </c>
      <c r="B117" s="1">
        <v>12122847</v>
      </c>
      <c r="D117" s="1"/>
    </row>
    <row r="118" spans="1:4" x14ac:dyDescent="0.25">
      <c r="A118" s="1" t="s">
        <v>24</v>
      </c>
      <c r="B118" s="1">
        <v>12122848</v>
      </c>
      <c r="D118" s="1"/>
    </row>
    <row r="119" spans="1:4" x14ac:dyDescent="0.25">
      <c r="A119" s="1" t="s">
        <v>25</v>
      </c>
      <c r="B119" s="1">
        <v>12473454</v>
      </c>
      <c r="D119" s="1"/>
    </row>
    <row r="120" spans="1:4" x14ac:dyDescent="0.25">
      <c r="A120" s="1" t="s">
        <v>26</v>
      </c>
      <c r="B120" s="1">
        <v>11765572</v>
      </c>
      <c r="D120" s="1"/>
    </row>
    <row r="121" spans="1:4" x14ac:dyDescent="0.25">
      <c r="A121" s="1" t="s">
        <v>27</v>
      </c>
      <c r="B121" s="1">
        <v>12209965</v>
      </c>
      <c r="D121" s="1"/>
    </row>
    <row r="122" spans="1:4" x14ac:dyDescent="0.25">
      <c r="A122" s="1" t="s">
        <v>28</v>
      </c>
      <c r="B122" s="1">
        <v>12209966</v>
      </c>
      <c r="D122" s="1"/>
    </row>
    <row r="123" spans="1:4" x14ac:dyDescent="0.25">
      <c r="A123" s="1" t="s">
        <v>29</v>
      </c>
      <c r="B123" s="1">
        <v>12209964</v>
      </c>
      <c r="D123" s="1"/>
    </row>
    <row r="124" spans="1:4" x14ac:dyDescent="0.25">
      <c r="A124" s="1" t="s">
        <v>136</v>
      </c>
      <c r="B124" s="1">
        <v>12249440</v>
      </c>
      <c r="D124" s="1"/>
    </row>
    <row r="125" spans="1:4" x14ac:dyDescent="0.25">
      <c r="A125" s="1" t="s">
        <v>137</v>
      </c>
      <c r="B125" s="1">
        <v>12249441</v>
      </c>
      <c r="D125" s="1"/>
    </row>
    <row r="126" spans="1:4" x14ac:dyDescent="0.25">
      <c r="A126" s="1" t="s">
        <v>138</v>
      </c>
      <c r="B126" s="1">
        <v>12586512</v>
      </c>
    </row>
    <row r="127" spans="1:4" x14ac:dyDescent="0.25">
      <c r="A127" s="1" t="s">
        <v>139</v>
      </c>
      <c r="B127" s="1">
        <v>12586513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7"/>
  <sheetViews>
    <sheetView workbookViewId="0">
      <selection sqref="A1:A7"/>
    </sheetView>
  </sheetViews>
  <sheetFormatPr defaultRowHeight="15" x14ac:dyDescent="0.25"/>
  <cols>
    <col min="1" max="1" width="23.42578125" customWidth="1"/>
    <col min="2" max="2" width="12" bestFit="1" customWidth="1"/>
  </cols>
  <sheetData>
    <row r="1" spans="1:2" x14ac:dyDescent="0.25">
      <c r="A1" s="1" t="s">
        <v>0</v>
      </c>
      <c r="B1" s="1"/>
    </row>
    <row r="2" spans="1:2" x14ac:dyDescent="0.25">
      <c r="A2" s="1" t="s">
        <v>146</v>
      </c>
      <c r="B2" s="1"/>
    </row>
    <row r="3" spans="1:2" x14ac:dyDescent="0.25">
      <c r="A3" s="1" t="s">
        <v>147</v>
      </c>
      <c r="B3" s="1"/>
    </row>
    <row r="4" spans="1:2" x14ac:dyDescent="0.25">
      <c r="A4" s="1" t="s">
        <v>148</v>
      </c>
      <c r="B4" s="1"/>
    </row>
    <row r="5" spans="1:2" x14ac:dyDescent="0.25">
      <c r="A5" s="1" t="s">
        <v>152</v>
      </c>
      <c r="B5" s="1"/>
    </row>
    <row r="6" spans="1:2" x14ac:dyDescent="0.25">
      <c r="A6" s="1" t="s">
        <v>149</v>
      </c>
      <c r="B6" s="1"/>
    </row>
    <row r="7" spans="1:2" x14ac:dyDescent="0.25">
      <c r="A7" s="1" t="s">
        <v>150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</sheetPr>
  <dimension ref="A1:B8"/>
  <sheetViews>
    <sheetView workbookViewId="0">
      <selection activeCell="B29" sqref="B29"/>
    </sheetView>
  </sheetViews>
  <sheetFormatPr defaultRowHeight="15" x14ac:dyDescent="0.25"/>
  <cols>
    <col min="1" max="1" width="30" bestFit="1" customWidth="1"/>
    <col min="2" max="2" width="55.42578125" bestFit="1" customWidth="1"/>
  </cols>
  <sheetData>
    <row r="1" spans="1:2" x14ac:dyDescent="0.25">
      <c r="A1" t="s">
        <v>36</v>
      </c>
    </row>
    <row r="2" spans="1:2" x14ac:dyDescent="0.25">
      <c r="A2" t="s">
        <v>37</v>
      </c>
      <c r="B2" t="s">
        <v>4</v>
      </c>
    </row>
    <row r="3" spans="1:2" x14ac:dyDescent="0.25">
      <c r="A3" t="s">
        <v>38</v>
      </c>
      <c r="B3" s="4"/>
    </row>
    <row r="4" spans="1:2" x14ac:dyDescent="0.25">
      <c r="A4" t="s">
        <v>39</v>
      </c>
      <c r="B4" s="4"/>
    </row>
    <row r="5" spans="1:2" x14ac:dyDescent="0.25">
      <c r="A5" t="s">
        <v>40</v>
      </c>
      <c r="B5" s="4"/>
    </row>
    <row r="6" spans="1:2" x14ac:dyDescent="0.25">
      <c r="A6" t="s">
        <v>144</v>
      </c>
      <c r="B6" s="4" t="s">
        <v>142</v>
      </c>
    </row>
    <row r="7" spans="1:2" x14ac:dyDescent="0.25">
      <c r="A7" t="s">
        <v>143</v>
      </c>
      <c r="B7" s="4" t="s">
        <v>195</v>
      </c>
    </row>
    <row r="8" spans="1:2" x14ac:dyDescent="0.25">
      <c r="A8" t="s">
        <v>145</v>
      </c>
      <c r="B8" s="4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</sheetPr>
  <dimension ref="A1:C24"/>
  <sheetViews>
    <sheetView workbookViewId="0">
      <selection sqref="A1:C24"/>
    </sheetView>
  </sheetViews>
  <sheetFormatPr defaultRowHeight="15" x14ac:dyDescent="0.25"/>
  <cols>
    <col min="1" max="1" width="41.42578125" bestFit="1" customWidth="1"/>
    <col min="2" max="2" width="21.5703125" bestFit="1" customWidth="1"/>
    <col min="3" max="3" width="24.5703125" style="6" bestFit="1" customWidth="1"/>
  </cols>
  <sheetData>
    <row r="1" spans="1:3" x14ac:dyDescent="0.25">
      <c r="A1" s="1" t="s">
        <v>153</v>
      </c>
      <c r="B1" s="1" t="s">
        <v>140</v>
      </c>
      <c r="C1" s="5" t="s">
        <v>154</v>
      </c>
    </row>
    <row r="2" spans="1:3" x14ac:dyDescent="0.25">
      <c r="A2" s="1" t="s">
        <v>155</v>
      </c>
      <c r="B2" s="1" t="s">
        <v>156</v>
      </c>
      <c r="C2" s="5" t="s">
        <v>157</v>
      </c>
    </row>
    <row r="3" spans="1:3" x14ac:dyDescent="0.25">
      <c r="A3" s="1" t="s">
        <v>158</v>
      </c>
      <c r="B3" s="1" t="s">
        <v>153</v>
      </c>
      <c r="C3" s="5" t="s">
        <v>5</v>
      </c>
    </row>
    <row r="4" spans="1:3" x14ac:dyDescent="0.25">
      <c r="A4" s="1" t="s">
        <v>158</v>
      </c>
      <c r="B4" s="1" t="s">
        <v>159</v>
      </c>
      <c r="C4" s="5" t="s">
        <v>146</v>
      </c>
    </row>
    <row r="5" spans="1:3" x14ac:dyDescent="0.25">
      <c r="A5" s="1" t="s">
        <v>158</v>
      </c>
      <c r="B5" s="1" t="s">
        <v>160</v>
      </c>
      <c r="C5" s="5" t="s">
        <v>161</v>
      </c>
    </row>
    <row r="6" spans="1:3" x14ac:dyDescent="0.25">
      <c r="A6" s="1" t="s">
        <v>162</v>
      </c>
      <c r="B6" s="1" t="s">
        <v>151</v>
      </c>
      <c r="C6" s="5">
        <v>1000</v>
      </c>
    </row>
    <row r="7" spans="1:3" x14ac:dyDescent="0.25">
      <c r="A7" s="1" t="s">
        <v>162</v>
      </c>
      <c r="B7" s="1" t="s">
        <v>163</v>
      </c>
      <c r="C7" s="5" t="s">
        <v>164</v>
      </c>
    </row>
    <row r="8" spans="1:3" x14ac:dyDescent="0.25">
      <c r="A8" s="1" t="s">
        <v>165</v>
      </c>
      <c r="B8" s="1" t="s">
        <v>166</v>
      </c>
      <c r="C8" s="5" t="s">
        <v>167</v>
      </c>
    </row>
    <row r="9" spans="1:3" x14ac:dyDescent="0.25">
      <c r="A9" s="1" t="s">
        <v>165</v>
      </c>
      <c r="B9" s="1" t="s">
        <v>168</v>
      </c>
      <c r="C9" s="5" t="s">
        <v>190</v>
      </c>
    </row>
    <row r="10" spans="1:3" x14ac:dyDescent="0.25">
      <c r="A10" s="1" t="s">
        <v>165</v>
      </c>
      <c r="B10" s="1" t="s">
        <v>169</v>
      </c>
      <c r="C10" s="5" t="s">
        <v>170</v>
      </c>
    </row>
    <row r="11" spans="1:3" x14ac:dyDescent="0.25">
      <c r="A11" s="1" t="s">
        <v>171</v>
      </c>
      <c r="B11" s="1" t="s">
        <v>172</v>
      </c>
      <c r="C11" s="5" t="b">
        <v>1</v>
      </c>
    </row>
    <row r="12" spans="1:3" x14ac:dyDescent="0.25">
      <c r="A12" s="1" t="s">
        <v>171</v>
      </c>
      <c r="B12" s="1" t="s">
        <v>173</v>
      </c>
      <c r="C12" s="5" t="b">
        <v>1</v>
      </c>
    </row>
    <row r="13" spans="1:3" x14ac:dyDescent="0.25">
      <c r="A13" s="1" t="s">
        <v>171</v>
      </c>
      <c r="B13" s="1" t="s">
        <v>174</v>
      </c>
      <c r="C13" s="5" t="b">
        <v>0</v>
      </c>
    </row>
    <row r="14" spans="1:3" x14ac:dyDescent="0.25">
      <c r="A14" s="1" t="s">
        <v>175</v>
      </c>
      <c r="B14" s="1" t="s">
        <v>176</v>
      </c>
      <c r="C14" s="5" t="b">
        <v>1</v>
      </c>
    </row>
    <row r="15" spans="1:3" x14ac:dyDescent="0.25">
      <c r="A15" s="1" t="s">
        <v>177</v>
      </c>
      <c r="B15" s="1" t="s">
        <v>178</v>
      </c>
      <c r="C15" s="5" t="b">
        <v>1</v>
      </c>
    </row>
    <row r="16" spans="1:3" x14ac:dyDescent="0.25">
      <c r="A16" s="1" t="s">
        <v>177</v>
      </c>
      <c r="B16" s="1" t="s">
        <v>179</v>
      </c>
      <c r="C16" s="5" t="b">
        <v>1</v>
      </c>
    </row>
    <row r="17" spans="1:3" x14ac:dyDescent="0.25">
      <c r="A17" s="1" t="s">
        <v>177</v>
      </c>
      <c r="B17" s="1" t="s">
        <v>180</v>
      </c>
      <c r="C17" s="5" t="b">
        <v>1</v>
      </c>
    </row>
    <row r="18" spans="1:3" x14ac:dyDescent="0.25">
      <c r="A18" s="1" t="s">
        <v>181</v>
      </c>
      <c r="B18" s="1" t="s">
        <v>178</v>
      </c>
      <c r="C18" s="5" t="b">
        <v>1</v>
      </c>
    </row>
    <row r="19" spans="1:3" x14ac:dyDescent="0.25">
      <c r="A19" s="1" t="s">
        <v>181</v>
      </c>
      <c r="B19" s="1" t="s">
        <v>182</v>
      </c>
      <c r="C19" s="5" t="b">
        <v>1</v>
      </c>
    </row>
    <row r="20" spans="1:3" x14ac:dyDescent="0.25">
      <c r="A20" s="1" t="s">
        <v>181</v>
      </c>
      <c r="B20" s="1" t="s">
        <v>183</v>
      </c>
      <c r="C20" s="5" t="s">
        <v>161</v>
      </c>
    </row>
    <row r="21" spans="1:3" x14ac:dyDescent="0.25">
      <c r="A21" s="1" t="s">
        <v>184</v>
      </c>
      <c r="B21" s="1" t="s">
        <v>151</v>
      </c>
      <c r="C21" s="5" t="b">
        <v>1</v>
      </c>
    </row>
    <row r="22" spans="1:3" x14ac:dyDescent="0.25">
      <c r="A22" s="1" t="s">
        <v>184</v>
      </c>
      <c r="B22" s="1" t="s">
        <v>163</v>
      </c>
      <c r="C22" s="5" t="b">
        <v>1</v>
      </c>
    </row>
    <row r="23" spans="1:3" x14ac:dyDescent="0.25">
      <c r="A23" s="1" t="s">
        <v>185</v>
      </c>
      <c r="B23" s="1" t="s">
        <v>178</v>
      </c>
      <c r="C23" s="5" t="b">
        <v>1</v>
      </c>
    </row>
    <row r="24" spans="1:3" x14ac:dyDescent="0.25">
      <c r="A24" s="1" t="s">
        <v>185</v>
      </c>
      <c r="B24" s="1" t="s">
        <v>182</v>
      </c>
      <c r="C24" s="5" t="b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rgb="FF7030A0"/>
  </sheetPr>
  <dimension ref="A1:B5"/>
  <sheetViews>
    <sheetView tabSelected="1" workbookViewId="0">
      <selection activeCell="B18" sqref="B18"/>
    </sheetView>
  </sheetViews>
  <sheetFormatPr defaultRowHeight="15" x14ac:dyDescent="0.25"/>
  <cols>
    <col min="1" max="1" width="11.28515625" style="8" customWidth="1"/>
    <col min="2" max="2" width="73.28515625" style="8" customWidth="1"/>
    <col min="3" max="3" width="5.5703125" style="8" customWidth="1"/>
    <col min="4" max="16384" width="9.140625" style="8"/>
  </cols>
  <sheetData>
    <row r="1" spans="1:2" ht="18.75" x14ac:dyDescent="0.3">
      <c r="A1" s="7" t="s">
        <v>33</v>
      </c>
    </row>
    <row r="2" spans="1:2" x14ac:dyDescent="0.25">
      <c r="A2" s="8" t="s">
        <v>34</v>
      </c>
    </row>
    <row r="4" spans="1:2" ht="15.75" x14ac:dyDescent="0.25">
      <c r="A4" s="9" t="s">
        <v>32</v>
      </c>
      <c r="B4" s="3" t="s">
        <v>5</v>
      </c>
    </row>
    <row r="5" spans="1:2" ht="15.75" x14ac:dyDescent="0.25">
      <c r="A5" s="9" t="s">
        <v>30</v>
      </c>
      <c r="B5" s="3" t="s">
        <v>152</v>
      </c>
    </row>
  </sheetData>
  <sheetProtection algorithmName="SHA-512" hashValue="FRJsGtIOCBUSVx1M2cm+ZBfMOBr3bVj3tCBDhSGAKYOs6qTdVaOkxoqOkHFRJ3iX+f2WHzh8GiCoT2JwmNEJ9w==" saltValue="aikCTdukJx4boe9578+nzQ==" spinCount="100000" sheet="1" objects="1" scenarios="1"/>
  <dataConsolidate/>
  <dataValidations count="2">
    <dataValidation type="list" allowBlank="1" showInputMessage="1" showErrorMessage="1" sqref="B4">
      <formula1>queries_groups_names</formula1>
    </dataValidation>
    <dataValidation type="list" allowBlank="1" showInputMessage="1" showErrorMessage="1" sqref="B5">
      <formula1>queries_by_group_names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tnQueryInfoLoad">
              <controlPr defaultSize="0" print="0" autoFill="0" autoPict="0" macro="[0]!QueryInfoLoad">
                <anchor moveWithCells="1" sizeWithCells="1">
                  <from>
                    <xdr:col>3</xdr:col>
                    <xdr:colOff>190500</xdr:colOff>
                    <xdr:row>3</xdr:row>
                    <xdr:rowOff>57150</xdr:rowOff>
                  </from>
                  <to>
                    <xdr:col>5</xdr:col>
                    <xdr:colOff>257175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theme="9"/>
  </sheetPr>
  <dimension ref="A1:L5"/>
  <sheetViews>
    <sheetView workbookViewId="0">
      <selection activeCell="E15" sqref="E15"/>
    </sheetView>
  </sheetViews>
  <sheetFormatPr defaultRowHeight="15" x14ac:dyDescent="0.25"/>
  <cols>
    <col min="1" max="1" width="17.28515625" customWidth="1"/>
    <col min="2" max="4" width="12" customWidth="1"/>
    <col min="5" max="6" width="12.7109375" customWidth="1"/>
    <col min="7" max="7" width="12.28515625" customWidth="1"/>
    <col min="8" max="12" width="12.7109375" customWidth="1"/>
    <col min="13" max="13" width="12" customWidth="1"/>
  </cols>
  <sheetData>
    <row r="1" spans="1:12" ht="18.75" x14ac:dyDescent="0.3">
      <c r="A1" s="2" t="s">
        <v>30</v>
      </c>
      <c r="B1" s="2" t="s">
        <v>189</v>
      </c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18.75" x14ac:dyDescent="0.3">
      <c r="A2" t="s">
        <v>35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ht="18.75" x14ac:dyDescent="0.3">
      <c r="A3" s="2" t="s">
        <v>31</v>
      </c>
    </row>
    <row r="4" spans="1:12" x14ac:dyDescent="0.25">
      <c r="A4" s="1" t="s">
        <v>0</v>
      </c>
      <c r="B4" s="1" t="s">
        <v>4</v>
      </c>
      <c r="C4" s="1"/>
    </row>
    <row r="5" spans="1:12" x14ac:dyDescent="0.25">
      <c r="A5" s="1" t="s">
        <v>163</v>
      </c>
      <c r="B5" s="10" t="s">
        <v>164</v>
      </c>
      <c r="C5" s="1"/>
    </row>
  </sheetData>
  <sheetProtection algorithmName="SHA-512" hashValue="N0U3N9gQGESL9VwtUwJuFbC8Z+LLR46DhrzUN8vMcKXnYVN6tl4sSCnawU3MiDch4ZrYo7DxLpGKGksHor7W8Q==" saltValue="sAbM4Waik6/HA/mbuvcNwg==" spinCount="100000" sheet="1" objects="1" scenarios="1"/>
  <dataConsolidate/>
  <dataValidations count="1">
    <dataValidation type="date" operator="greaterThan" allowBlank="1" showInputMessage="1" showErrorMessage="1" sqref="B5">
      <formula1>1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tnQueryRun">
              <controlPr defaultSize="0" print="0" autoFill="0" autoPict="0" macro="[0]!QueryDataLoad">
                <anchor moveWithCells="1" sizeWithCells="1">
                  <from>
                    <xdr:col>2</xdr:col>
                    <xdr:colOff>228600</xdr:colOff>
                    <xdr:row>3</xdr:row>
                    <xdr:rowOff>47625</xdr:rowOff>
                  </from>
                  <to>
                    <xdr:col>3</xdr:col>
                    <xdr:colOff>504825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4"/>
  </sheetPr>
  <dimension ref="A1:C5"/>
  <sheetViews>
    <sheetView workbookViewId="0">
      <selection activeCell="A3" sqref="A3:C5"/>
    </sheetView>
  </sheetViews>
  <sheetFormatPr defaultRowHeight="15" x14ac:dyDescent="0.25"/>
  <cols>
    <col min="1" max="3" width="15.28515625" customWidth="1"/>
    <col min="4" max="4" width="12.5703125" customWidth="1"/>
    <col min="5" max="5" width="18.5703125" customWidth="1"/>
    <col min="6" max="6" width="15" customWidth="1"/>
    <col min="7" max="7" width="15.28515625" customWidth="1"/>
    <col min="8" max="8" width="17.42578125" customWidth="1"/>
    <col min="9" max="9" width="18.42578125" customWidth="1"/>
    <col min="10" max="10" width="10" customWidth="1"/>
    <col min="11" max="11" width="14.42578125" customWidth="1"/>
    <col min="12" max="12" width="13.85546875" customWidth="1"/>
    <col min="13" max="13" width="14.140625" customWidth="1"/>
    <col min="14" max="14" width="14.42578125" customWidth="1"/>
    <col min="15" max="15" width="17.28515625" customWidth="1"/>
    <col min="16" max="16" width="15.42578125" customWidth="1"/>
    <col min="17" max="17" width="14.85546875" customWidth="1"/>
    <col min="18" max="18" width="23.140625" customWidth="1"/>
    <col min="19" max="19" width="41" bestFit="1" customWidth="1"/>
    <col min="20" max="20" width="47.140625" bestFit="1" customWidth="1"/>
    <col min="21" max="24" width="50" bestFit="1" customWidth="1"/>
    <col min="25" max="25" width="49.140625" bestFit="1" customWidth="1"/>
    <col min="26" max="26" width="200.42578125" bestFit="1" customWidth="1"/>
    <col min="27" max="27" width="199.140625" bestFit="1" customWidth="1"/>
    <col min="28" max="28" width="41" bestFit="1" customWidth="1"/>
    <col min="29" max="29" width="22.42578125" bestFit="1" customWidth="1"/>
    <col min="30" max="30" width="41.140625" bestFit="1" customWidth="1"/>
    <col min="31" max="31" width="42.140625" bestFit="1" customWidth="1"/>
    <col min="32" max="32" width="29.7109375" bestFit="1" customWidth="1"/>
    <col min="33" max="33" width="27.5703125" bestFit="1" customWidth="1"/>
    <col min="34" max="34" width="31.28515625" bestFit="1" customWidth="1"/>
    <col min="35" max="35" width="39" bestFit="1" customWidth="1"/>
    <col min="36" max="36" width="37" bestFit="1" customWidth="1"/>
    <col min="37" max="37" width="26.140625" bestFit="1" customWidth="1"/>
    <col min="38" max="38" width="47.5703125" bestFit="1" customWidth="1"/>
    <col min="39" max="39" width="49" bestFit="1" customWidth="1"/>
    <col min="40" max="40" width="36.85546875" bestFit="1" customWidth="1"/>
    <col min="41" max="41" width="51" bestFit="1" customWidth="1"/>
    <col min="42" max="42" width="41.7109375" bestFit="1" customWidth="1"/>
    <col min="43" max="43" width="128.140625" bestFit="1" customWidth="1"/>
    <col min="44" max="45" width="45.85546875" bestFit="1" customWidth="1"/>
    <col min="46" max="46" width="27.140625" bestFit="1" customWidth="1"/>
    <col min="47" max="47" width="37.28515625" bestFit="1" customWidth="1"/>
    <col min="48" max="48" width="33.5703125" bestFit="1" customWidth="1"/>
    <col min="49" max="49" width="46.5703125" bestFit="1" customWidth="1"/>
    <col min="50" max="50" width="34.28515625" bestFit="1" customWidth="1"/>
    <col min="51" max="51" width="27.5703125" bestFit="1" customWidth="1"/>
    <col min="52" max="52" width="36.85546875" bestFit="1" customWidth="1"/>
    <col min="53" max="53" width="47.42578125" bestFit="1" customWidth="1"/>
    <col min="54" max="54" width="47.28515625" bestFit="1" customWidth="1"/>
    <col min="55" max="55" width="27.28515625" bestFit="1" customWidth="1"/>
    <col min="56" max="56" width="31" bestFit="1" customWidth="1"/>
    <col min="57" max="57" width="41.7109375" bestFit="1" customWidth="1"/>
    <col min="58" max="58" width="41.5703125" bestFit="1" customWidth="1"/>
    <col min="59" max="59" width="31.5703125" bestFit="1" customWidth="1"/>
    <col min="60" max="60" width="35.28515625" bestFit="1" customWidth="1"/>
    <col min="61" max="61" width="46" bestFit="1" customWidth="1"/>
    <col min="62" max="62" width="45.85546875" bestFit="1" customWidth="1"/>
    <col min="63" max="63" width="22.28515625" bestFit="1" customWidth="1"/>
    <col min="64" max="64" width="26.7109375" bestFit="1" customWidth="1"/>
    <col min="65" max="65" width="31" bestFit="1" customWidth="1"/>
    <col min="66" max="66" width="37" bestFit="1" customWidth="1"/>
    <col min="67" max="67" width="40.42578125" bestFit="1" customWidth="1"/>
    <col min="68" max="68" width="23.7109375" bestFit="1" customWidth="1"/>
    <col min="69" max="69" width="25.85546875" bestFit="1" customWidth="1"/>
    <col min="70" max="70" width="26.5703125" bestFit="1" customWidth="1"/>
    <col min="71" max="71" width="89.28515625" bestFit="1" customWidth="1"/>
    <col min="72" max="72" width="45.85546875" bestFit="1" customWidth="1"/>
    <col min="73" max="73" width="44.7109375" bestFit="1" customWidth="1"/>
    <col min="74" max="74" width="54.85546875" bestFit="1" customWidth="1"/>
    <col min="75" max="75" width="56" bestFit="1" customWidth="1"/>
    <col min="76" max="76" width="100" bestFit="1" customWidth="1"/>
    <col min="77" max="77" width="46.28515625" bestFit="1" customWidth="1"/>
    <col min="78" max="78" width="47.42578125" bestFit="1" customWidth="1"/>
    <col min="79" max="79" width="75.5703125" bestFit="1" customWidth="1"/>
    <col min="80" max="80" width="73.42578125" bestFit="1" customWidth="1"/>
    <col min="81" max="81" width="74.5703125" bestFit="1" customWidth="1"/>
    <col min="82" max="82" width="35.42578125" bestFit="1" customWidth="1"/>
    <col min="83" max="83" width="41.42578125" bestFit="1" customWidth="1"/>
    <col min="84" max="84" width="70.140625" bestFit="1" customWidth="1"/>
    <col min="85" max="85" width="29.85546875" bestFit="1" customWidth="1"/>
    <col min="86" max="86" width="41.85546875" bestFit="1" customWidth="1"/>
    <col min="87" max="87" width="43" bestFit="1" customWidth="1"/>
    <col min="88" max="88" width="26.7109375" bestFit="1" customWidth="1"/>
    <col min="89" max="89" width="34.7109375" bestFit="1" customWidth="1"/>
    <col min="90" max="90" width="46.7109375" bestFit="1" customWidth="1"/>
    <col min="91" max="91" width="47.85546875" bestFit="1" customWidth="1"/>
    <col min="92" max="92" width="20.85546875" bestFit="1" customWidth="1"/>
    <col min="93" max="93" width="26.28515625" bestFit="1" customWidth="1"/>
    <col min="94" max="94" width="42.7109375" bestFit="1" customWidth="1"/>
    <col min="95" max="95" width="55.5703125" bestFit="1" customWidth="1"/>
    <col min="96" max="96" width="41.7109375" bestFit="1" customWidth="1"/>
    <col min="97" max="97" width="67.42578125" bestFit="1" customWidth="1"/>
    <col min="98" max="98" width="43.140625" bestFit="1" customWidth="1"/>
    <col min="99" max="99" width="50.140625" bestFit="1" customWidth="1"/>
    <col min="100" max="100" width="74.85546875" bestFit="1" customWidth="1"/>
    <col min="101" max="101" width="44.42578125" bestFit="1" customWidth="1"/>
    <col min="102" max="102" width="39.7109375" bestFit="1" customWidth="1"/>
    <col min="103" max="103" width="56" bestFit="1" customWidth="1"/>
    <col min="104" max="104" width="43" bestFit="1" customWidth="1"/>
    <col min="105" max="105" width="47.140625" bestFit="1" customWidth="1"/>
    <col min="106" max="106" width="38.85546875" bestFit="1" customWidth="1"/>
    <col min="107" max="107" width="45.85546875" bestFit="1" customWidth="1"/>
    <col min="108" max="108" width="47.28515625" bestFit="1" customWidth="1"/>
    <col min="109" max="109" width="55.140625" bestFit="1" customWidth="1"/>
    <col min="110" max="110" width="46" bestFit="1" customWidth="1"/>
    <col min="111" max="111" width="53.85546875" bestFit="1" customWidth="1"/>
    <col min="112" max="112" width="40.42578125" bestFit="1" customWidth="1"/>
    <col min="113" max="113" width="47.28515625" bestFit="1" customWidth="1"/>
    <col min="114" max="114" width="39" bestFit="1" customWidth="1"/>
    <col min="115" max="115" width="46" bestFit="1" customWidth="1"/>
    <col min="116" max="116" width="47.42578125" bestFit="1" customWidth="1"/>
    <col min="117" max="117" width="55.28515625" bestFit="1" customWidth="1"/>
    <col min="118" max="118" width="46.140625" bestFit="1" customWidth="1"/>
    <col min="119" max="119" width="54" bestFit="1" customWidth="1"/>
    <col min="120" max="120" width="41.140625" bestFit="1" customWidth="1"/>
    <col min="121" max="121" width="48" bestFit="1" customWidth="1"/>
    <col min="122" max="122" width="39.7109375" bestFit="1" customWidth="1"/>
    <col min="123" max="123" width="46.7109375" bestFit="1" customWidth="1"/>
    <col min="124" max="124" width="48.140625" bestFit="1" customWidth="1"/>
    <col min="125" max="125" width="56" bestFit="1" customWidth="1"/>
    <col min="126" max="126" width="46.85546875" bestFit="1" customWidth="1"/>
    <col min="127" max="127" width="54.7109375" bestFit="1" customWidth="1"/>
    <col min="128" max="128" width="42.7109375" bestFit="1" customWidth="1"/>
    <col min="129" max="129" width="49.7109375" bestFit="1" customWidth="1"/>
    <col min="130" max="130" width="41.42578125" bestFit="1" customWidth="1"/>
    <col min="131" max="131" width="48.28515625" bestFit="1" customWidth="1"/>
    <col min="132" max="132" width="49.85546875" bestFit="1" customWidth="1"/>
    <col min="133" max="133" width="57.7109375" bestFit="1" customWidth="1"/>
    <col min="134" max="134" width="48.5703125" bestFit="1" customWidth="1"/>
    <col min="135" max="135" width="56.28515625" bestFit="1" customWidth="1"/>
    <col min="136" max="136" width="25.5703125" bestFit="1" customWidth="1"/>
    <col min="137" max="137" width="40.85546875" bestFit="1" customWidth="1"/>
    <col min="138" max="138" width="42.7109375" bestFit="1" customWidth="1"/>
    <col min="139" max="139" width="36.7109375" bestFit="1" customWidth="1"/>
    <col min="140" max="140" width="48.140625" bestFit="1" customWidth="1"/>
    <col min="141" max="141" width="49.42578125" bestFit="1" customWidth="1"/>
    <col min="142" max="142" width="30.140625" bestFit="1" customWidth="1"/>
    <col min="143" max="143" width="37.85546875" bestFit="1" customWidth="1"/>
    <col min="144" max="144" width="28.85546875" bestFit="1" customWidth="1"/>
    <col min="145" max="145" width="19.7109375" bestFit="1" customWidth="1"/>
    <col min="146" max="146" width="47.28515625" bestFit="1" customWidth="1"/>
    <col min="147" max="147" width="39.140625" bestFit="1" customWidth="1"/>
    <col min="148" max="148" width="31.28515625" bestFit="1" customWidth="1"/>
    <col min="149" max="149" width="33.5703125" bestFit="1" customWidth="1"/>
    <col min="150" max="150" width="46.42578125" bestFit="1" customWidth="1"/>
    <col min="151" max="151" width="34.7109375" bestFit="1" customWidth="1"/>
    <col min="152" max="152" width="42.140625" bestFit="1" customWidth="1"/>
    <col min="153" max="153" width="44.5703125" bestFit="1" customWidth="1"/>
    <col min="154" max="154" width="28" bestFit="1" customWidth="1"/>
    <col min="155" max="155" width="39.42578125" bestFit="1" customWidth="1"/>
    <col min="156" max="156" width="47.28515625" bestFit="1" customWidth="1"/>
    <col min="157" max="157" width="34.5703125" bestFit="1" customWidth="1"/>
    <col min="158" max="158" width="30.140625" bestFit="1" customWidth="1"/>
    <col min="159" max="160" width="40.5703125" bestFit="1" customWidth="1"/>
    <col min="161" max="161" width="28.28515625" bestFit="1" customWidth="1"/>
    <col min="162" max="162" width="25.7109375" bestFit="1" customWidth="1"/>
    <col min="163" max="163" width="28" bestFit="1" customWidth="1"/>
    <col min="164" max="164" width="34.85546875" bestFit="1" customWidth="1"/>
    <col min="165" max="165" width="30.5703125" bestFit="1" customWidth="1"/>
    <col min="166" max="166" width="46.42578125" bestFit="1" customWidth="1"/>
    <col min="167" max="167" width="32" bestFit="1" customWidth="1"/>
    <col min="168" max="168" width="53.28515625" bestFit="1" customWidth="1"/>
    <col min="169" max="169" width="29.42578125" bestFit="1" customWidth="1"/>
    <col min="170" max="170" width="28.5703125" bestFit="1" customWidth="1"/>
    <col min="171" max="171" width="28.140625" bestFit="1" customWidth="1"/>
    <col min="172" max="172" width="17.7109375" bestFit="1" customWidth="1"/>
    <col min="173" max="173" width="54.5703125" bestFit="1" customWidth="1"/>
    <col min="174" max="174" width="115.7109375" bestFit="1" customWidth="1"/>
    <col min="175" max="175" width="97.7109375" bestFit="1" customWidth="1"/>
    <col min="176" max="176" width="33.28515625" bestFit="1" customWidth="1"/>
    <col min="177" max="177" width="25.140625" bestFit="1" customWidth="1"/>
    <col min="178" max="178" width="32.5703125" bestFit="1" customWidth="1"/>
    <col min="179" max="179" width="36.42578125" bestFit="1" customWidth="1"/>
    <col min="180" max="180" width="65.42578125" bestFit="1" customWidth="1"/>
    <col min="181" max="181" width="14.140625" bestFit="1" customWidth="1"/>
    <col min="182" max="182" width="22.42578125" bestFit="1" customWidth="1"/>
    <col min="183" max="183" width="46.28515625" bestFit="1" customWidth="1"/>
    <col min="184" max="184" width="47.42578125" bestFit="1" customWidth="1"/>
    <col min="185" max="185" width="33.85546875" bestFit="1" customWidth="1"/>
    <col min="186" max="186" width="58.7109375" bestFit="1" customWidth="1"/>
    <col min="187" max="187" width="50.140625" bestFit="1" customWidth="1"/>
    <col min="188" max="188" width="43.85546875" bestFit="1" customWidth="1"/>
    <col min="189" max="189" width="47" bestFit="1" customWidth="1"/>
    <col min="190" max="191" width="24" bestFit="1" customWidth="1"/>
    <col min="192" max="192" width="58.85546875" bestFit="1" customWidth="1"/>
    <col min="193" max="193" width="14.28515625" bestFit="1" customWidth="1"/>
    <col min="194" max="194" width="59.28515625" bestFit="1" customWidth="1"/>
    <col min="195" max="199" width="63.85546875" bestFit="1" customWidth="1"/>
    <col min="200" max="200" width="12" bestFit="1" customWidth="1"/>
  </cols>
  <sheetData>
    <row r="1" spans="1:3" ht="18.75" x14ac:dyDescent="0.3">
      <c r="A1" s="2" t="str">
        <f>params_query_path</f>
        <v>Test/date</v>
      </c>
    </row>
    <row r="3" spans="1:3" x14ac:dyDescent="0.25">
      <c r="A3" s="1" t="s">
        <v>193</v>
      </c>
      <c r="B3" s="1" t="s">
        <v>194</v>
      </c>
      <c r="C3" s="1" t="s">
        <v>163</v>
      </c>
    </row>
    <row r="4" spans="1:3" x14ac:dyDescent="0.25">
      <c r="A4" s="11">
        <v>42760.446296296293</v>
      </c>
      <c r="B4" s="11">
        <v>42760</v>
      </c>
      <c r="C4" s="11">
        <v>36526</v>
      </c>
    </row>
    <row r="5" spans="1:3" x14ac:dyDescent="0.25">
      <c r="A5" s="11"/>
      <c r="B5" s="11">
        <v>42760</v>
      </c>
      <c r="C5" s="11">
        <v>36526</v>
      </c>
    </row>
  </sheetData>
  <dataConsolidate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FF0000"/>
  </sheetPr>
  <dimension ref="A1:G2"/>
  <sheetViews>
    <sheetView workbookViewId="0">
      <selection sqref="A1:G2"/>
    </sheetView>
  </sheetViews>
  <sheetFormatPr defaultRowHeight="15" x14ac:dyDescent="0.25"/>
  <cols>
    <col min="1" max="1" width="12.28515625" bestFit="1" customWidth="1"/>
    <col min="2" max="2" width="12.7109375" bestFit="1" customWidth="1"/>
    <col min="3" max="3" width="14.28515625" bestFit="1" customWidth="1"/>
    <col min="4" max="4" width="11.42578125" bestFit="1" customWidth="1"/>
    <col min="5" max="5" width="7.85546875" bestFit="1" customWidth="1"/>
    <col min="6" max="6" width="8.5703125" bestFit="1" customWidth="1"/>
    <col min="7" max="7" width="9" bestFit="1" customWidth="1"/>
  </cols>
  <sheetData>
    <row r="1" spans="1:7" x14ac:dyDescent="0.25">
      <c r="A1" s="1" t="s">
        <v>2</v>
      </c>
      <c r="B1" s="1" t="s">
        <v>3</v>
      </c>
      <c r="C1" s="1" t="s">
        <v>186</v>
      </c>
      <c r="D1" s="1" t="s">
        <v>187</v>
      </c>
      <c r="E1" s="1" t="s">
        <v>188</v>
      </c>
      <c r="F1" s="1" t="s">
        <v>140</v>
      </c>
      <c r="G1" s="1" t="s">
        <v>141</v>
      </c>
    </row>
    <row r="2" spans="1:7" x14ac:dyDescent="0.25">
      <c r="A2" s="1" t="s">
        <v>163</v>
      </c>
      <c r="B2" s="1" t="s">
        <v>191</v>
      </c>
      <c r="C2" s="1" t="s">
        <v>192</v>
      </c>
      <c r="D2" s="1">
        <v>0</v>
      </c>
      <c r="E2" s="1">
        <v>0</v>
      </c>
      <c r="F2" s="1" t="s">
        <v>163</v>
      </c>
      <c r="G2" s="1">
        <v>12749858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A5535C-63DB-4BD8-918F-539C3D280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5</vt:i4>
      </vt:variant>
    </vt:vector>
  </HeadingPairs>
  <TitlesOfParts>
    <vt:vector size="8" baseType="lpstr">
      <vt:lpstr>Запрос - Выбор</vt:lpstr>
      <vt:lpstr>Параметры</vt:lpstr>
      <vt:lpstr>Данные</vt:lpstr>
      <vt:lpstr>params_query_path</vt:lpstr>
      <vt:lpstr>queries_by_group_names</vt:lpstr>
      <vt:lpstr>queries_group_selected</vt:lpstr>
      <vt:lpstr>queries_groups_names</vt:lpstr>
      <vt:lpstr>query_selected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 Сафин</dc:creator>
  <cp:lastModifiedBy>Денис Сафин</cp:lastModifiedBy>
  <dcterms:created xsi:type="dcterms:W3CDTF">2017-01-09T11:46:54Z</dcterms:created>
  <dcterms:modified xsi:type="dcterms:W3CDTF">2017-01-25T07:42:45Z</dcterms:modified>
</cp:coreProperties>
</file>